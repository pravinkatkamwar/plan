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Portfolio" sheetId="4" state="visible" r:id="rId6"/>
    <sheet name="SS Comparison" sheetId="5" state="visible" r:id="rId7"/>
    <sheet name="Advi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<sst xmlns="http://schemas.openxmlformats.org/spreadsheetml/2006/main" count="131" uniqueCount="128">
  <si>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</si>
  <si>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</si>
  <si>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</si>
  <si>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</si>
  <si>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</si>
  <si>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</si>
  <si>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</si>
  <si>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</si>
  <si>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</si>
  <si>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</si>
  <si>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</si>
  <si>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</si>
  <si>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</si>
  <si>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</si>
  <si>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</si>
  <si>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</si>
  <si>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</si>
  <si>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</si>
  <si>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</si>
  <si>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</si>
  <si>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</si>
  <si>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</si>
  <si>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</si>
  <si>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</si>
  <si>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</si>
  <si>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</si>
  <si>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</si>
  <si>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</si>
  <si>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</si>
  <si>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</si>
  <si>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</si>
  <si>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</si>
  <si>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</si>
  <si>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</si>
  <si>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</si>
  <si>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</si>
  <si>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</si>
  <si>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</si>
  <si>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</si>
  <si>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</si>
  <si>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</si>
  <si>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</si>
  <si>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</si>
  <si>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</si>
  <si>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</si>
  <si>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</si>
  <si>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</si>
  <si>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</si>
  <si>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</si>
  <si>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</si>
  <si>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</si>
  <si>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</si>
  <si>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ROTH CONVERSION PLAN  (Ages 65–85)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</si>
  <si>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</si>
  <si>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</si>
  <si>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</si>
  <si>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</si>
  <si>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</si>
  <si>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</si>
  <si>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</si>
  <si>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</si>
  <si>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</si>
  <si>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</si>
  <si>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ANNUAL WITHDRAWAL PLAN  (Ages 65–85)</t>
  </si>
  <si>
    <t xml:space="preserve">Living+Infl
($)</t>
  </si>
  <si>
    <t xml:space="preserve">Mortgage
($)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</si>
  <si>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</si>
  <si>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</si>
  <si>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</si>
  <si>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</si>
  <si>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</si>
  <si>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</si>
  <si>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</si>
  <si>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</si>
  <si>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</si>
  <si>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</si>
  <si>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</si>
  <si>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</si>
  <si>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PORTFOLIO BALANCE PROJECTION  (Ages 56–85)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</si>
  <si>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</si>
  <si>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</si>
  <si>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</si>
  <si>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</si>
  <si>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</si>
  <si>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</si>
  <si>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</si>
  <si>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+Home ($)</t>
  </si>
  <si>
    <t xml:space="preserve">Blue rows = working years (accumulation)  ·  Orange rows = RMD years (age 73+)  ·  White/cream = retirement years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</si>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</sst>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1A3A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1A3A6B"/>
        <bgColor rgb="FF333399"/>
      </patternFill>
    </fill>
    <fill>
      <patternFill patternType="solid">
        <fgColor rgb="FFFFFFFF"/>
        <bgColor rgb="FFFFFDF7"/>
      </patternFill>
    </fill>
    <fill>
      <patternFill patternType="solid">
        <fgColor rgb="FFFFF0E8"/>
        <bgColor rgb="FFF8F4ED"/>
      </patternFill>
    </fill>
    <fill>
      <patternFill patternType="solid">
        <fgColor rgb="FFEAF0FB"/>
        <bgColor rgb="FFF8F4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D4C9B8"/>
      <rgbColor rgb="FF808080"/>
      <rgbColor rgb="FF9999FF"/>
      <rgbColor rgb="FF993366"/>
      <rgbColor rgb="FFFFFDF7"/>
      <rgbColor rgb="FFEAF0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4ED"/>
      <rgbColor rgb="FFEFE9DF"/>
      <rgbColor rgb="FFFFF0E8"/>
      <rgbColor rgb="FF99CCFF"/>
      <rgbColor rgb="FFFF99CC"/>
      <rgbColor rgb="FFCC99FF"/>
      <rgbColor rgb="FFE8C96A"/>
      <rgbColor rgb="FF3366FF"/>
      <rgbColor rgb="FF33CCCC"/>
      <rgbColor rgb="FF99CC00"/>
      <rgbColor rgb="FFFFCC00"/>
      <rgbColor rgb="FFFF9900"/>
      <rgbColor rgb="FFFF6600"/>
      <rgbColor rgb="FF6B7280"/>
      <rgbColor rgb="FFC9A84C"/>
      <rgbColor rgb="FF1A3A6B"/>
      <rgbColor rgb="FF339966"/>
      <rgbColor rgb="FF0F2240"/>
      <rgbColor rgb="FF333300"/>
      <rgbColor rgb="FFB5231A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3"/>
    <col collapsed="false" customWidth="true" hidden="false" outlineLevel="0" max="4" min="4" style="0" width="28"/>
    <col collapsed="false" customWidth="true" hidden="false" outlineLevel="0" max="5" min="5" style="0" width="20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</row>
    <row r="3" customFormat="false" ht="21.75" hidden="false" customHeight="true" outlineLevel="0" collapsed="false">
      <c r="A3" s="3" t="s">
        <v>2</v>
      </c>
      <c r="B3" s="3"/>
      <c r="D3" s="3" t="s">
        <v>3</v>
      </c>
      <c r="E3" s="3"/>
    </row>
    <row r="4" customFormat="false" ht="15" hidden="false" customHeight="false" outlineLevel="0" collapsed="false">
      <c r="A4" s="4" t="s">
        <v>4</v>
      </c>
      <c r="B4" s="5" t="n">
        <v>56</v>
      </c>
      <c r="D4" s="4" t="s">
        <v>5</v>
      </c>
      <c r="E4" s="5" t="n">
        <v>51</v>
      </c>
    </row>
    <row r="5" customFormat="false" ht="15" hidden="false" customHeight="false" outlineLevel="0" collapsed="false">
      <c r="A5" s="4" t="s">
        <v>6</v>
      </c>
      <c r="B5" s="5" t="n">
        <v>65</v>
      </c>
      <c r="D5" s="4" t="s">
        <v>7</v>
      </c>
      <c r="E5" s="5" t="n">
        <v>65</v>
      </c>
    </row>
    <row r="6" customFormat="false" ht="15" hidden="false" customHeight="false" outlineLevel="0" collapsed="false">
      <c r="A6" s="4" t="s">
        <v>8</v>
      </c>
      <c r="B6" s="5" t="n">
        <v>85</v>
      </c>
      <c r="D6" s="4" t="s">
        <v>9</v>
      </c>
      <c r="E6" s="6" t="n">
        <v>0</v>
      </c>
    </row>
    <row r="7" customFormat="false" ht="15" hidden="false" customHeight="false" outlineLevel="0" collapsed="false">
      <c r="A7" s="4" t="s">
        <v>10</v>
      </c>
      <c r="B7" s="5" t="s">
        <v>11</v>
      </c>
      <c r="D7" s="4" t="s">
        <v>12</v>
      </c>
      <c r="E7" s="6" t="n">
        <v>0</v>
      </c>
    </row>
    <row r="8" customFormat="false" ht="15" hidden="false" customHeight="false" outlineLevel="0" collapsed="false">
      <c r="A8" s="4" t="s">
        <v>13</v>
      </c>
      <c r="B8" s="6" t="n">
        <v>300000</v>
      </c>
      <c r="D8" s="4" t="s">
        <v>14</v>
      </c>
      <c r="E8" s="6" t="n">
        <v>0</v>
      </c>
    </row>
    <row r="9" customFormat="false" ht="15" hidden="false" customHeight="false" outlineLevel="0" collapsed="false">
      <c r="A9" s="4" t="s">
        <v>15</v>
      </c>
      <c r="B9" s="6" t="n">
        <v>3000000</v>
      </c>
      <c r="D9" s="4" t="s">
        <v>16</v>
      </c>
      <c r="E9" s="7" t="n">
        <v>0</v>
      </c>
    </row>
    <row r="10" customFormat="false" ht="15" hidden="false" customHeight="false" outlineLevel="0" collapsed="false">
      <c r="A10" s="4" t="s">
        <v>17</v>
      </c>
      <c r="B10" s="6" t="n">
        <v>500000</v>
      </c>
      <c r="D10" s="4" t="s">
        <v>18</v>
      </c>
      <c r="E10" s="6" t="n">
        <v>50000</v>
      </c>
    </row>
    <row r="11" customFormat="false" ht="15" hidden="false" customHeight="false" outlineLevel="0" collapsed="false">
      <c r="A11" s="4" t="s">
        <v>19</v>
      </c>
      <c r="B11" s="6" t="n">
        <v>37500</v>
      </c>
      <c r="D11" s="4" t="s">
        <v>20</v>
      </c>
      <c r="E11" s="6" t="n">
        <v>10000</v>
      </c>
    </row>
    <row r="12" customFormat="false" ht="15" hidden="false" customHeight="false" outlineLevel="0" collapsed="false">
      <c r="A12" s="4" t="s">
        <v>21</v>
      </c>
      <c r="B12" s="7" t="n">
        <v>0.05</v>
      </c>
    </row>
    <row r="13" customFormat="false" ht="15" hidden="false" customHeight="false" outlineLevel="0" collapsed="false">
      <c r="A13" s="4" t="s">
        <v>22</v>
      </c>
      <c r="B13" s="6" t="n">
        <v>250000</v>
      </c>
    </row>
    <row r="14" customFormat="false" ht="15" hidden="false" customHeight="false" outlineLevel="0" collapsed="false">
      <c r="A14" s="4" t="s">
        <v>23</v>
      </c>
      <c r="B14" s="6" t="n">
        <v>100000</v>
      </c>
    </row>
    <row r="15" customFormat="false" ht="15" hidden="false" customHeight="false" outlineLevel="0" collapsed="false">
      <c r="A15" s="4" t="s">
        <v>24</v>
      </c>
      <c r="B15" s="6" t="n">
        <v>8000</v>
      </c>
    </row>
    <row r="16" customFormat="false" ht="15" hidden="false" customHeight="false" outlineLevel="0" collapsed="false">
      <c r="A16" s="4" t="s">
        <v>25</v>
      </c>
      <c r="B16" s="6" t="n">
        <v>500000</v>
      </c>
    </row>
    <row r="18" customFormat="false" ht="21.75" hidden="false" customHeight="true" outlineLevel="0" collapsed="false">
      <c r="A18" s="3" t="s">
        <v>26</v>
      </c>
      <c r="B18" s="3"/>
      <c r="C18" s="3"/>
      <c r="D18" s="3"/>
      <c r="E18" s="3"/>
    </row>
    <row r="19" customFormat="false" ht="15" hidden="false" customHeight="false" outlineLevel="0" collapsed="false">
      <c r="A19" s="4" t="s">
        <v>27</v>
      </c>
      <c r="B19" s="7" t="n">
        <v>0.08</v>
      </c>
    </row>
    <row r="20" customFormat="false" ht="15" hidden="false" customHeight="false" outlineLevel="0" collapsed="false">
      <c r="A20" s="4" t="s">
        <v>28</v>
      </c>
      <c r="B20" s="7" t="n">
        <v>0.03</v>
      </c>
    </row>
    <row r="21" customFormat="false" ht="15" hidden="false" customHeight="false" outlineLevel="0" collapsed="false">
      <c r="A21" s="4" t="s">
        <v>29</v>
      </c>
      <c r="B21" s="7" t="n">
        <v>0.025</v>
      </c>
    </row>
    <row r="22" customFormat="false" ht="15" hidden="false" customHeight="false" outlineLevel="0" collapsed="false">
      <c r="A22" s="4" t="s">
        <v>30</v>
      </c>
      <c r="B22" s="6" t="n">
        <v>3330</v>
      </c>
    </row>
    <row r="23" customFormat="false" ht="15" hidden="false" customHeight="false" outlineLevel="0" collapsed="false">
      <c r="A23" s="4" t="s">
        <v>31</v>
      </c>
      <c r="B23" s="6" t="n">
        <v>3972</v>
      </c>
    </row>
    <row r="24" customFormat="false" ht="15" hidden="false" customHeight="false" outlineLevel="0" collapsed="false">
      <c r="A24" s="4" t="s">
        <v>32</v>
      </c>
      <c r="B24" s="6" t="n">
        <v>5200</v>
      </c>
    </row>
    <row r="25" customFormat="false" ht="15" hidden="false" customHeight="false" outlineLevel="0" collapsed="false">
      <c r="A25" s="4" t="s">
        <v>33</v>
      </c>
      <c r="B25" s="5" t="n">
        <v>67</v>
      </c>
    </row>
    <row r="26" customFormat="false" ht="15" hidden="false" customHeight="false" outlineLevel="0" collapsed="false">
      <c r="A26" s="4" t="s">
        <v>34</v>
      </c>
      <c r="B26" s="5" t="n">
        <v>65</v>
      </c>
    </row>
    <row r="28" customFormat="false" ht="21.75" hidden="false" customHeight="true" outlineLevel="0" collapsed="false">
      <c r="A28" s="3" t="s">
        <v>35</v>
      </c>
      <c r="B28" s="3"/>
      <c r="C28" s="3"/>
      <c r="D28" s="3"/>
      <c r="E28" s="3"/>
    </row>
    <row r="29" customFormat="false" ht="15" hidden="false" customHeight="false" outlineLevel="0" collapsed="false">
      <c r="A29" s="4" t="s">
        <v>36</v>
      </c>
      <c r="B29" s="6" t="n">
        <v>7000</v>
      </c>
    </row>
    <row r="30" customFormat="false" ht="15" hidden="false" customHeight="false" outlineLevel="0" collapsed="false">
      <c r="A30" s="4" t="s">
        <v>37</v>
      </c>
      <c r="B30" s="6" t="n">
        <v>3000</v>
      </c>
    </row>
    <row r="31" customFormat="false" ht="15" hidden="false" customHeight="false" outlineLevel="0" collapsed="false">
      <c r="A31" s="4" t="s">
        <v>38</v>
      </c>
      <c r="B31" s="6" t="n">
        <v>15000</v>
      </c>
    </row>
    <row r="32" customFormat="false" ht="15" hidden="false" customHeight="false" outlineLevel="0" collapsed="false">
      <c r="A32" s="4" t="s">
        <v>39</v>
      </c>
      <c r="B32" s="6" t="n">
        <v>1500</v>
      </c>
    </row>
    <row r="33" customFormat="false" ht="15" hidden="false" customHeight="false" outlineLevel="0" collapsed="false">
      <c r="A33" s="4" t="s">
        <v>40</v>
      </c>
      <c r="B33" s="6" t="n">
        <v>185</v>
      </c>
    </row>
    <row r="34" customFormat="false" ht="15" hidden="false" customHeight="false" outlineLevel="0" collapsed="false">
      <c r="A34" s="4" t="s">
        <v>41</v>
      </c>
      <c r="B34" s="7" t="n">
        <v>0.05</v>
      </c>
    </row>
    <row r="35" customFormat="false" ht="15" hidden="false" customHeight="false" outlineLevel="0" collapsed="false">
      <c r="A35" s="4" t="s">
        <v>42</v>
      </c>
      <c r="B35" s="6" t="n">
        <v>800</v>
      </c>
    </row>
    <row r="36" customFormat="false" ht="15" hidden="false" customHeight="false" outlineLevel="0" collapsed="false">
      <c r="A36" s="4" t="s">
        <v>43</v>
      </c>
      <c r="B36" s="6" t="n">
        <v>800000</v>
      </c>
    </row>
    <row r="37" customFormat="false" ht="15" hidden="false" customHeight="false" outlineLevel="0" collapsed="false">
      <c r="A37" s="4" t="s">
        <v>44</v>
      </c>
      <c r="B37" s="6" t="n">
        <v>0</v>
      </c>
    </row>
    <row r="38" customFormat="false" ht="15" hidden="false" customHeight="false" outlineLevel="0" collapsed="false">
      <c r="A38" s="4" t="s">
        <v>45</v>
      </c>
      <c r="B38" s="5" t="n">
        <v>70</v>
      </c>
    </row>
    <row r="40" customFormat="false" ht="21.75" hidden="false" customHeight="true" outlineLevel="0" collapsed="false">
      <c r="A40" s="3" t="s">
        <v>46</v>
      </c>
      <c r="B40" s="3"/>
      <c r="C40" s="3"/>
      <c r="D40" s="3"/>
      <c r="E40" s="3"/>
    </row>
    <row r="41" customFormat="false" ht="15" hidden="false" customHeight="false" outlineLevel="0" collapsed="false">
      <c r="A41" s="4" t="s">
        <v>47</v>
      </c>
      <c r="B41" s="6" t="n">
        <v>201050</v>
      </c>
    </row>
    <row r="42" customFormat="false" ht="15" hidden="false" customHeight="false" outlineLevel="0" collapsed="false">
      <c r="A42" s="4" t="s">
        <v>48</v>
      </c>
      <c r="B42" s="6" t="n">
        <v>30000</v>
      </c>
    </row>
    <row r="43" customFormat="false" ht="15" hidden="false" customHeight="false" outlineLevel="0" collapsed="false">
      <c r="A43" s="4" t="s">
        <v>49</v>
      </c>
      <c r="B43" s="7" t="n">
        <v>0.85</v>
      </c>
    </row>
    <row r="44" customFormat="false" ht="15" hidden="false" customHeight="false" outlineLevel="0" collapsed="false">
      <c r="A44" s="4" t="s">
        <v>50</v>
      </c>
      <c r="B44" s="5" t="n">
        <v>73</v>
      </c>
    </row>
    <row r="45" customFormat="false" ht="15" hidden="false" customHeight="false" outlineLevel="0" collapsed="false">
      <c r="A45" s="4" t="s">
        <v>51</v>
      </c>
      <c r="B45" s="7" t="n">
        <v>0.15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5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16"/>
  </cols>
  <sheetData>
    <row r="1" customFormat="false" ht="30" hidden="false" customHeight="true" outlineLevel="0" collapsed="false">
      <c r="A1" s="8" t="s">
        <v>52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42" hidden="false" customHeight="true" outlineLevel="0" collapsed="false">
      <c r="A2" s="9" t="s">
        <v>53</v>
      </c>
      <c r="B2" s="9" t="s">
        <v>54</v>
      </c>
      <c r="C2" s="9" t="s">
        <v>55</v>
      </c>
      <c r="D2" s="9" t="s">
        <v>56</v>
      </c>
      <c r="E2" s="9" t="s">
        <v>57</v>
      </c>
      <c r="F2" s="9" t="s">
        <v>58</v>
      </c>
      <c r="G2" s="9" t="s">
        <v>59</v>
      </c>
      <c r="H2" s="9" t="s">
        <v>60</v>
      </c>
      <c r="I2" s="9" t="s">
        <v>61</v>
      </c>
      <c r="J2" s="9" t="s">
        <v>62</v>
      </c>
    </row>
    <row r="3" customFormat="false" ht="15" hidden="false" customHeight="false" outlineLevel="0" collapsed="false">
      <c r="A3" s="10" t="n">
        <v>65</v>
      </c>
      <c r="B3" s="11" t="n">
        <f aca="false">Inputs!B9</f>
        <v>3000000</v>
      </c>
      <c r="C3" s="11" t="n">
        <f aca="false">IF(65&gt;=Inputs!B25,IF(Inputs!B25=65,Inputs!B22*12,IF(Inputs!B25=70,Inputs!B24*12,Inputs!B23*12))*(1+Inputs!B21)^MAX(0,65-Inputs!B25),0)</f>
        <v>0</v>
      </c>
      <c r="D3" s="11" t="n">
        <f aca="false">C3*Inputs!B43</f>
        <v>0</v>
      </c>
      <c r="E3" s="11" t="n">
        <f aca="false">MAX(0,Inputs!B41-D3-Inputs!B42)</f>
        <v>171050</v>
      </c>
      <c r="F3" s="11" t="n">
        <f aca="false">D3+E3</f>
        <v>171050</v>
      </c>
      <c r="G3" s="11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12" t="n">
        <f aca="false">IFERROR(G3/F3,0)</f>
        <v>0.162157263957907</v>
      </c>
      <c r="I3" s="13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1" t="n">
        <f aca="false">MAX(0,B3-E3)</f>
        <v>2828950</v>
      </c>
    </row>
    <row r="4" customFormat="false" ht="15" hidden="false" customHeight="false" outlineLevel="0" collapsed="false">
      <c r="A4" s="10" t="n">
        <v>66</v>
      </c>
      <c r="B4" s="14" t="n">
        <f aca="false">J3</f>
        <v>2828950</v>
      </c>
      <c r="C4" s="14" t="n">
        <f aca="false">IF(66&gt;=Inputs!B25,IF(Inputs!B25=65,Inputs!B22*12,IF(Inputs!B25=70,Inputs!B24*12,Inputs!B23*12))*(1+Inputs!B21)^MAX(0,66-Inputs!B25),0)</f>
        <v>0</v>
      </c>
      <c r="D4" s="14" t="n">
        <f aca="false">C4*Inputs!B43</f>
        <v>0</v>
      </c>
      <c r="E4" s="14" t="n">
        <f aca="false">MAX(0,Inputs!B41-D4-Inputs!B42)</f>
        <v>171050</v>
      </c>
      <c r="F4" s="14" t="n">
        <f aca="false">D4+E4</f>
        <v>171050</v>
      </c>
      <c r="G4" s="14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15" t="n">
        <f aca="false">IFERROR(G4/F4,0)</f>
        <v>0.162157263957907</v>
      </c>
      <c r="I4" s="16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14" t="n">
        <f aca="false">MAX(0,B4-E4)</f>
        <v>2657900</v>
      </c>
    </row>
    <row r="5" customFormat="false" ht="15" hidden="false" customHeight="false" outlineLevel="0" collapsed="false">
      <c r="A5" s="10" t="n">
        <v>67</v>
      </c>
      <c r="B5" s="11" t="n">
        <f aca="false">J4</f>
        <v>2657900</v>
      </c>
      <c r="C5" s="11" t="n">
        <f aca="false">IF(67&gt;=Inputs!B25,IF(Inputs!B25=65,Inputs!B22*12,IF(Inputs!B25=70,Inputs!B24*12,Inputs!B23*12))*(1+Inputs!B21)^MAX(0,67-Inputs!B25),0)</f>
        <v>47664</v>
      </c>
      <c r="D5" s="11" t="n">
        <f aca="false">C5*Inputs!B43</f>
        <v>40514.4</v>
      </c>
      <c r="E5" s="11" t="n">
        <f aca="false">MAX(0,Inputs!B41-D5-Inputs!B42)</f>
        <v>130535.6</v>
      </c>
      <c r="F5" s="11" t="n">
        <f aca="false">D5+E5</f>
        <v>171050</v>
      </c>
      <c r="G5" s="11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12" t="n">
        <f aca="false">IFERROR(G5/F5,0)</f>
        <v>0.162157263957907</v>
      </c>
      <c r="I5" s="13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1" t="n">
        <f aca="false">MAX(0,B5-E5)</f>
        <v>2527364.4</v>
      </c>
    </row>
    <row r="6" customFormat="false" ht="15" hidden="false" customHeight="false" outlineLevel="0" collapsed="false">
      <c r="A6" s="10" t="n">
        <v>68</v>
      </c>
      <c r="B6" s="14" t="n">
        <f aca="false">J5</f>
        <v>2527364.4</v>
      </c>
      <c r="C6" s="14" t="n">
        <f aca="false">IF(68&gt;=Inputs!B25,IF(Inputs!B25=65,Inputs!B22*12,IF(Inputs!B25=70,Inputs!B24*12,Inputs!B23*12))*(1+Inputs!B21)^MAX(0,68-Inputs!B25),0)</f>
        <v>48855.6</v>
      </c>
      <c r="D6" s="14" t="n">
        <f aca="false">C6*Inputs!B43</f>
        <v>41527.26</v>
      </c>
      <c r="E6" s="14" t="n">
        <f aca="false">MAX(0,Inputs!B41-D6-Inputs!B42)</f>
        <v>129522.74</v>
      </c>
      <c r="F6" s="14" t="n">
        <f aca="false">D6+E6</f>
        <v>171050</v>
      </c>
      <c r="G6" s="14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15" t="n">
        <f aca="false">IFERROR(G6/F6,0)</f>
        <v>0.162157263957907</v>
      </c>
      <c r="I6" s="16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14" t="n">
        <f aca="false">MAX(0,B6-E6)</f>
        <v>2397841.66</v>
      </c>
    </row>
    <row r="7" customFormat="false" ht="15" hidden="false" customHeight="false" outlineLevel="0" collapsed="false">
      <c r="A7" s="10" t="n">
        <v>69</v>
      </c>
      <c r="B7" s="11" t="n">
        <f aca="false">J6</f>
        <v>2397841.66</v>
      </c>
      <c r="C7" s="11" t="n">
        <f aca="false">IF(69&gt;=Inputs!B25,IF(Inputs!B25=65,Inputs!B22*12,IF(Inputs!B25=70,Inputs!B24*12,Inputs!B23*12))*(1+Inputs!B21)^MAX(0,69-Inputs!B25),0)</f>
        <v>50076.99</v>
      </c>
      <c r="D7" s="11" t="n">
        <f aca="false">C7*Inputs!B43</f>
        <v>42565.4415</v>
      </c>
      <c r="E7" s="11" t="n">
        <f aca="false">MAX(0,Inputs!B41-D7-Inputs!B42)</f>
        <v>128484.5585</v>
      </c>
      <c r="F7" s="11" t="n">
        <f aca="false">D7+E7</f>
        <v>171050</v>
      </c>
      <c r="G7" s="11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12" t="n">
        <f aca="false">IFERROR(G7/F7,0)</f>
        <v>0.162157263957907</v>
      </c>
      <c r="I7" s="13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1" t="n">
        <f aca="false">MAX(0,B7-E7)</f>
        <v>2269357.1015</v>
      </c>
    </row>
    <row r="8" customFormat="false" ht="15" hidden="false" customHeight="false" outlineLevel="0" collapsed="false">
      <c r="A8" s="10" t="n">
        <v>70</v>
      </c>
      <c r="B8" s="14" t="n">
        <f aca="false">J7</f>
        <v>2269357.1015</v>
      </c>
      <c r="C8" s="14" t="n">
        <f aca="false">IF(70&gt;=Inputs!B25,IF(Inputs!B25=65,Inputs!B22*12,IF(Inputs!B25=70,Inputs!B24*12,Inputs!B23*12))*(1+Inputs!B21)^MAX(0,70-Inputs!B25),0)</f>
        <v>51328.91475</v>
      </c>
      <c r="D8" s="14" t="n">
        <f aca="false">C8*Inputs!B43</f>
        <v>43629.5775375</v>
      </c>
      <c r="E8" s="14" t="n">
        <f aca="false">MAX(0,Inputs!B41-D8-Inputs!B42)</f>
        <v>127420.4224625</v>
      </c>
      <c r="F8" s="14" t="n">
        <f aca="false">D8+E8</f>
        <v>171050</v>
      </c>
      <c r="G8" s="14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15" t="n">
        <f aca="false">IFERROR(G8/F8,0)</f>
        <v>0.162157263957907</v>
      </c>
      <c r="I8" s="16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14" t="n">
        <f aca="false">MAX(0,B8-E8)</f>
        <v>2141936.6790375</v>
      </c>
    </row>
    <row r="9" customFormat="false" ht="15" hidden="false" customHeight="false" outlineLevel="0" collapsed="false">
      <c r="A9" s="10" t="n">
        <v>71</v>
      </c>
      <c r="B9" s="11" t="n">
        <f aca="false">J8</f>
        <v>2141936.6790375</v>
      </c>
      <c r="C9" s="11" t="n">
        <f aca="false">IF(71&gt;=Inputs!B25,IF(Inputs!B25=65,Inputs!B22*12,IF(Inputs!B25=70,Inputs!B24*12,Inputs!B23*12))*(1+Inputs!B21)^MAX(0,71-Inputs!B25),0)</f>
        <v>52612.13761875</v>
      </c>
      <c r="D9" s="11" t="n">
        <f aca="false">C9*Inputs!B43</f>
        <v>44720.3169759375</v>
      </c>
      <c r="E9" s="11" t="n">
        <f aca="false">MAX(0,Inputs!B41-D9-Inputs!B42)</f>
        <v>126329.683024063</v>
      </c>
      <c r="F9" s="11" t="n">
        <f aca="false">D9+E9</f>
        <v>171050</v>
      </c>
      <c r="G9" s="11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12" t="n">
        <f aca="false">IFERROR(G9/F9,0)</f>
        <v>0.162157263957907</v>
      </c>
      <c r="I9" s="13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1" t="n">
        <f aca="false">MAX(0,B9-E9)</f>
        <v>2015606.99601344</v>
      </c>
    </row>
    <row r="10" customFormat="false" ht="15" hidden="false" customHeight="false" outlineLevel="0" collapsed="false">
      <c r="A10" s="10" t="n">
        <v>72</v>
      </c>
      <c r="B10" s="14" t="n">
        <f aca="false">J9</f>
        <v>2015606.99601344</v>
      </c>
      <c r="C10" s="14" t="n">
        <f aca="false">IF(72&gt;=Inputs!B25,IF(Inputs!B25=65,Inputs!B22*12,IF(Inputs!B25=70,Inputs!B24*12,Inputs!B23*12))*(1+Inputs!B21)^MAX(0,72-Inputs!B25),0)</f>
        <v>53927.4410592187</v>
      </c>
      <c r="D10" s="14" t="n">
        <f aca="false">C10*Inputs!B43</f>
        <v>45838.3249003359</v>
      </c>
      <c r="E10" s="14" t="n">
        <f aca="false">MAX(0,Inputs!B41-D10-Inputs!B42)</f>
        <v>125211.675099664</v>
      </c>
      <c r="F10" s="14" t="n">
        <f aca="false">D10+E10</f>
        <v>171050</v>
      </c>
      <c r="G10" s="14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15" t="n">
        <f aca="false">IFERROR(G10/F10,0)</f>
        <v>0.162157263957907</v>
      </c>
      <c r="I10" s="16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14" t="n">
        <f aca="false">MAX(0,B10-E10)</f>
        <v>1890395.32091377</v>
      </c>
    </row>
    <row r="11" customFormat="false" ht="15" hidden="false" customHeight="false" outlineLevel="0" collapsed="false">
      <c r="A11" s="10" t="n">
        <v>73</v>
      </c>
      <c r="B11" s="17" t="n">
        <f aca="false">J10</f>
        <v>1890395.32091377</v>
      </c>
      <c r="C11" s="17" t="n">
        <f aca="false">IF(73&gt;=Inputs!B25,IF(Inputs!B25=65,Inputs!B22*12,IF(Inputs!B25=70,Inputs!B24*12,Inputs!B23*12))*(1+Inputs!B21)^MAX(0,73-Inputs!B25),0)</f>
        <v>55275.6270856992</v>
      </c>
      <c r="D11" s="17" t="n">
        <f aca="false">C11*Inputs!B43</f>
        <v>46984.2830228443</v>
      </c>
      <c r="E11" s="17" t="n">
        <f aca="false">MAX(0,Inputs!B41-D11-Inputs!B42)</f>
        <v>124065.716977156</v>
      </c>
      <c r="F11" s="17" t="n">
        <f aca="false">D11+E11</f>
        <v>171050</v>
      </c>
      <c r="G11" s="17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18" t="n">
        <f aca="false">IFERROR(G11/F11,0)</f>
        <v>0.162157263957907</v>
      </c>
      <c r="I11" s="19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17" t="n">
        <f aca="false">MAX(0,B11-E11)</f>
        <v>1766329.60393662</v>
      </c>
    </row>
    <row r="12" customFormat="false" ht="15" hidden="false" customHeight="false" outlineLevel="0" collapsed="false">
      <c r="A12" s="10" t="n">
        <v>74</v>
      </c>
      <c r="B12" s="17" t="n">
        <f aca="false">J11</f>
        <v>1766329.60393662</v>
      </c>
      <c r="C12" s="17" t="n">
        <f aca="false">IF(74&gt;=Inputs!B25,IF(Inputs!B25=65,Inputs!B22*12,IF(Inputs!B25=70,Inputs!B24*12,Inputs!B23*12))*(1+Inputs!B21)^MAX(0,74-Inputs!B25),0)</f>
        <v>56657.5177628417</v>
      </c>
      <c r="D12" s="17" t="n">
        <f aca="false">C12*Inputs!B43</f>
        <v>48158.8900984154</v>
      </c>
      <c r="E12" s="17" t="n">
        <f aca="false">MAX(0,Inputs!B41-D12-Inputs!B42)</f>
        <v>122891.109901585</v>
      </c>
      <c r="F12" s="17" t="n">
        <f aca="false">D12+E12</f>
        <v>171050</v>
      </c>
      <c r="G12" s="17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18" t="n">
        <f aca="false">IFERROR(G12/F12,0)</f>
        <v>0.162157263957907</v>
      </c>
      <c r="I12" s="19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17" t="n">
        <f aca="false">MAX(0,B12-E12)</f>
        <v>1643438.49403503</v>
      </c>
    </row>
    <row r="13" customFormat="false" ht="15" hidden="false" customHeight="false" outlineLevel="0" collapsed="false">
      <c r="A13" s="10" t="n">
        <v>75</v>
      </c>
      <c r="B13" s="17" t="n">
        <f aca="false">J12</f>
        <v>1643438.49403503</v>
      </c>
      <c r="C13" s="17" t="n">
        <f aca="false">IF(75&gt;=Inputs!B25,IF(Inputs!B25=65,Inputs!B22*12,IF(Inputs!B25=70,Inputs!B24*12,Inputs!B23*12))*(1+Inputs!B21)^MAX(0,75-Inputs!B25),0)</f>
        <v>58073.9557069127</v>
      </c>
      <c r="D13" s="17" t="n">
        <f aca="false">C13*Inputs!B43</f>
        <v>49362.8623508758</v>
      </c>
      <c r="E13" s="17" t="n">
        <f aca="false">MAX(0,Inputs!B41-D13-Inputs!B42)</f>
        <v>121687.137649124</v>
      </c>
      <c r="F13" s="17" t="n">
        <f aca="false">D13+E13</f>
        <v>171050</v>
      </c>
      <c r="G13" s="17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18" t="n">
        <f aca="false">IFERROR(G13/F13,0)</f>
        <v>0.162157263957907</v>
      </c>
      <c r="I13" s="19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17" t="n">
        <f aca="false">MAX(0,B13-E13)</f>
        <v>1521751.35638591</v>
      </c>
    </row>
    <row r="14" customFormat="false" ht="15" hidden="false" customHeight="false" outlineLevel="0" collapsed="false">
      <c r="A14" s="10" t="n">
        <v>76</v>
      </c>
      <c r="B14" s="17" t="n">
        <f aca="false">J13</f>
        <v>1521751.35638591</v>
      </c>
      <c r="C14" s="17" t="n">
        <f aca="false">IF(76&gt;=Inputs!B25,IF(Inputs!B25=65,Inputs!B22*12,IF(Inputs!B25=70,Inputs!B24*12,Inputs!B23*12))*(1+Inputs!B21)^MAX(0,76-Inputs!B25),0)</f>
        <v>59525.8045995855</v>
      </c>
      <c r="D14" s="17" t="n">
        <f aca="false">C14*Inputs!B43</f>
        <v>50596.9339096477</v>
      </c>
      <c r="E14" s="17" t="n">
        <f aca="false">MAX(0,Inputs!B41-D14-Inputs!B42)</f>
        <v>120453.066090352</v>
      </c>
      <c r="F14" s="17" t="n">
        <f aca="false">D14+E14</f>
        <v>171050</v>
      </c>
      <c r="G14" s="17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18" t="n">
        <f aca="false">IFERROR(G14/F14,0)</f>
        <v>0.162157263957907</v>
      </c>
      <c r="I14" s="19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17" t="n">
        <f aca="false">MAX(0,B14-E14)</f>
        <v>1401298.29029556</v>
      </c>
    </row>
    <row r="15" customFormat="false" ht="15" hidden="false" customHeight="false" outlineLevel="0" collapsed="false">
      <c r="A15" s="10" t="n">
        <v>77</v>
      </c>
      <c r="B15" s="17" t="n">
        <f aca="false">J14</f>
        <v>1401298.29029556</v>
      </c>
      <c r="C15" s="17" t="n">
        <f aca="false">IF(77&gt;=Inputs!B25,IF(Inputs!B25=65,Inputs!B22*12,IF(Inputs!B25=70,Inputs!B24*12,Inputs!B23*12))*(1+Inputs!B21)^MAX(0,77-Inputs!B25),0)</f>
        <v>61013.9497145751</v>
      </c>
      <c r="D15" s="17" t="n">
        <f aca="false">C15*Inputs!B43</f>
        <v>51861.8572573889</v>
      </c>
      <c r="E15" s="17" t="n">
        <f aca="false">MAX(0,Inputs!B41-D15-Inputs!B42)</f>
        <v>119188.142742611</v>
      </c>
      <c r="F15" s="17" t="n">
        <f aca="false">D15+E15</f>
        <v>171050</v>
      </c>
      <c r="G15" s="17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18" t="n">
        <f aca="false">IFERROR(G15/F15,0)</f>
        <v>0.162157263957907</v>
      </c>
      <c r="I15" s="19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17" t="n">
        <f aca="false">MAX(0,B15-E15)</f>
        <v>1282110.14755295</v>
      </c>
    </row>
    <row r="16" customFormat="false" ht="15" hidden="false" customHeight="false" outlineLevel="0" collapsed="false">
      <c r="A16" s="10" t="n">
        <v>78</v>
      </c>
      <c r="B16" s="17" t="n">
        <f aca="false">J15</f>
        <v>1282110.14755295</v>
      </c>
      <c r="C16" s="17" t="n">
        <f aca="false">IF(78&gt;=Inputs!B25,IF(Inputs!B25=65,Inputs!B22*12,IF(Inputs!B25=70,Inputs!B24*12,Inputs!B23*12))*(1+Inputs!B21)^MAX(0,78-Inputs!B25),0)</f>
        <v>62539.2984574395</v>
      </c>
      <c r="D16" s="17" t="n">
        <f aca="false">C16*Inputs!B43</f>
        <v>53158.4036888236</v>
      </c>
      <c r="E16" s="17" t="n">
        <f aca="false">MAX(0,Inputs!B41-D16-Inputs!B42)</f>
        <v>117891.596311176</v>
      </c>
      <c r="F16" s="17" t="n">
        <f aca="false">D16+E16</f>
        <v>171050</v>
      </c>
      <c r="G16" s="17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18" t="n">
        <f aca="false">IFERROR(G16/F16,0)</f>
        <v>0.162157263957907</v>
      </c>
      <c r="I16" s="19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17" t="n">
        <f aca="false">MAX(0,B16-E16)</f>
        <v>1164218.55124177</v>
      </c>
    </row>
    <row r="17" customFormat="false" ht="15" hidden="false" customHeight="false" outlineLevel="0" collapsed="false">
      <c r="A17" s="10" t="n">
        <v>79</v>
      </c>
      <c r="B17" s="17" t="n">
        <f aca="false">J16</f>
        <v>1164218.55124177</v>
      </c>
      <c r="C17" s="17" t="n">
        <f aca="false">IF(79&gt;=Inputs!B25,IF(Inputs!B25=65,Inputs!B22*12,IF(Inputs!B25=70,Inputs!B24*12,Inputs!B23*12))*(1+Inputs!B21)^MAX(0,79-Inputs!B25),0)</f>
        <v>64102.7809188755</v>
      </c>
      <c r="D17" s="17" t="n">
        <f aca="false">C17*Inputs!B43</f>
        <v>54487.3637810442</v>
      </c>
      <c r="E17" s="17" t="n">
        <f aca="false">MAX(0,Inputs!B41-D17-Inputs!B42)</f>
        <v>116562.636218956</v>
      </c>
      <c r="F17" s="17" t="n">
        <f aca="false">D17+E17</f>
        <v>171050</v>
      </c>
      <c r="G17" s="17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18" t="n">
        <f aca="false">IFERROR(G17/F17,0)</f>
        <v>0.162157263957907</v>
      </c>
      <c r="I17" s="19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17" t="n">
        <f aca="false">MAX(0,B17-E17)</f>
        <v>1047655.91502281</v>
      </c>
    </row>
    <row r="18" customFormat="false" ht="15" hidden="false" customHeight="false" outlineLevel="0" collapsed="false">
      <c r="A18" s="10" t="n">
        <v>80</v>
      </c>
      <c r="B18" s="17" t="n">
        <f aca="false">J17</f>
        <v>1047655.91502281</v>
      </c>
      <c r="C18" s="17" t="n">
        <f aca="false">IF(80&gt;=Inputs!B25,IF(Inputs!B25=65,Inputs!B22*12,IF(Inputs!B25=70,Inputs!B24*12,Inputs!B23*12))*(1+Inputs!B21)^MAX(0,80-Inputs!B25),0)</f>
        <v>65705.3504418474</v>
      </c>
      <c r="D18" s="17" t="n">
        <f aca="false">C18*Inputs!B43</f>
        <v>55849.5478755703</v>
      </c>
      <c r="E18" s="17" t="n">
        <f aca="false">MAX(0,Inputs!B41-D18-Inputs!B42)</f>
        <v>115200.45212443</v>
      </c>
      <c r="F18" s="17" t="n">
        <f aca="false">D18+E18</f>
        <v>171050</v>
      </c>
      <c r="G18" s="17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18" t="n">
        <f aca="false">IFERROR(G18/F18,0)</f>
        <v>0.162157263957907</v>
      </c>
      <c r="I18" s="19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17" t="n">
        <f aca="false">MAX(0,B18-E18)</f>
        <v>932455.462898383</v>
      </c>
    </row>
    <row r="19" customFormat="false" ht="15" hidden="false" customHeight="false" outlineLevel="0" collapsed="false">
      <c r="A19" s="10" t="n">
        <v>81</v>
      </c>
      <c r="B19" s="17" t="n">
        <f aca="false">J18</f>
        <v>932455.462898383</v>
      </c>
      <c r="C19" s="17" t="n">
        <f aca="false">IF(81&gt;=Inputs!B25,IF(Inputs!B25=65,Inputs!B22*12,IF(Inputs!B25=70,Inputs!B24*12,Inputs!B23*12))*(1+Inputs!B21)^MAX(0,81-Inputs!B25),0)</f>
        <v>67347.9842028936</v>
      </c>
      <c r="D19" s="17" t="n">
        <f aca="false">C19*Inputs!B43</f>
        <v>57245.7865724595</v>
      </c>
      <c r="E19" s="17" t="n">
        <f aca="false">MAX(0,Inputs!B41-D19-Inputs!B42)</f>
        <v>113804.21342754</v>
      </c>
      <c r="F19" s="17" t="n">
        <f aca="false">D19+E19</f>
        <v>171050</v>
      </c>
      <c r="G19" s="17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18" t="n">
        <f aca="false">IFERROR(G19/F19,0)</f>
        <v>0.162157263957907</v>
      </c>
      <c r="I19" s="19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17" t="n">
        <f aca="false">MAX(0,B19-E19)</f>
        <v>818651.249470843</v>
      </c>
    </row>
    <row r="20" customFormat="false" ht="15" hidden="false" customHeight="false" outlineLevel="0" collapsed="false">
      <c r="A20" s="10" t="n">
        <v>82</v>
      </c>
      <c r="B20" s="17" t="n">
        <f aca="false">J19</f>
        <v>818651.249470843</v>
      </c>
      <c r="C20" s="17" t="n">
        <f aca="false">IF(82&gt;=Inputs!B25,IF(Inputs!B25=65,Inputs!B22*12,IF(Inputs!B25=70,Inputs!B24*12,Inputs!B23*12))*(1+Inputs!B21)^MAX(0,82-Inputs!B25),0)</f>
        <v>69031.6838079659</v>
      </c>
      <c r="D20" s="17" t="n">
        <f aca="false">C20*Inputs!B43</f>
        <v>58676.931236771</v>
      </c>
      <c r="E20" s="17" t="n">
        <f aca="false">MAX(0,Inputs!B41-D20-Inputs!B42)</f>
        <v>112373.068763229</v>
      </c>
      <c r="F20" s="17" t="n">
        <f aca="false">D20+E20</f>
        <v>171050</v>
      </c>
      <c r="G20" s="17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18" t="n">
        <f aca="false">IFERROR(G20/F20,0)</f>
        <v>0.162157263957907</v>
      </c>
      <c r="I20" s="19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17" t="n">
        <f aca="false">MAX(0,B20-E20)</f>
        <v>706278.180707614</v>
      </c>
    </row>
    <row r="21" customFormat="false" ht="15" hidden="false" customHeight="false" outlineLevel="0" collapsed="false">
      <c r="A21" s="10" t="n">
        <v>83</v>
      </c>
      <c r="B21" s="17" t="n">
        <f aca="false">J20</f>
        <v>706278.180707614</v>
      </c>
      <c r="C21" s="17" t="n">
        <f aca="false">IF(83&gt;=Inputs!B25,IF(Inputs!B25=65,Inputs!B22*12,IF(Inputs!B25=70,Inputs!B24*12,Inputs!B23*12))*(1+Inputs!B21)^MAX(0,83-Inputs!B25),0)</f>
        <v>70757.475903165</v>
      </c>
      <c r="D21" s="17" t="n">
        <f aca="false">C21*Inputs!B43</f>
        <v>60143.8545176903</v>
      </c>
      <c r="E21" s="17" t="n">
        <f aca="false">MAX(0,Inputs!B41-D21-Inputs!B42)</f>
        <v>110906.14548231</v>
      </c>
      <c r="F21" s="17" t="n">
        <f aca="false">D21+E21</f>
        <v>171050</v>
      </c>
      <c r="G21" s="17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18" t="n">
        <f aca="false">IFERROR(G21/F21,0)</f>
        <v>0.162157263957907</v>
      </c>
      <c r="I21" s="19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17" t="n">
        <f aca="false">MAX(0,B21-E21)</f>
        <v>595372.035225304</v>
      </c>
    </row>
    <row r="22" customFormat="false" ht="15" hidden="false" customHeight="false" outlineLevel="0" collapsed="false">
      <c r="A22" s="10" t="n">
        <v>84</v>
      </c>
      <c r="B22" s="17" t="n">
        <f aca="false">J21</f>
        <v>595372.035225304</v>
      </c>
      <c r="C22" s="17" t="n">
        <f aca="false">IF(84&gt;=Inputs!B25,IF(Inputs!B25=65,Inputs!B22*12,IF(Inputs!B25=70,Inputs!B24*12,Inputs!B23*12))*(1+Inputs!B21)^MAX(0,84-Inputs!B25),0)</f>
        <v>72526.4128007442</v>
      </c>
      <c r="D22" s="17" t="n">
        <f aca="false">C22*Inputs!B43</f>
        <v>61647.4508806325</v>
      </c>
      <c r="E22" s="17" t="n">
        <f aca="false">MAX(0,Inputs!B41-D22-Inputs!B42)</f>
        <v>109402.549119367</v>
      </c>
      <c r="F22" s="17" t="n">
        <f aca="false">D22+E22</f>
        <v>171050</v>
      </c>
      <c r="G22" s="17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18" t="n">
        <f aca="false">IFERROR(G22/F22,0)</f>
        <v>0.162157263957907</v>
      </c>
      <c r="I22" s="19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17" t="n">
        <f aca="false">MAX(0,B22-E22)</f>
        <v>485969.486105936</v>
      </c>
    </row>
    <row r="23" customFormat="false" ht="15" hidden="false" customHeight="false" outlineLevel="0" collapsed="false">
      <c r="A23" s="10" t="n">
        <v>85</v>
      </c>
      <c r="B23" s="17" t="n">
        <f aca="false">J22</f>
        <v>485969.486105936</v>
      </c>
      <c r="C23" s="17" t="n">
        <f aca="false">IF(85&gt;=Inputs!B25,IF(Inputs!B25=65,Inputs!B22*12,IF(Inputs!B25=70,Inputs!B24*12,Inputs!B23*12))*(1+Inputs!B21)^MAX(0,85-Inputs!B25),0)</f>
        <v>74339.5731207628</v>
      </c>
      <c r="D23" s="17" t="n">
        <f aca="false">C23*Inputs!B43</f>
        <v>63188.6371526483</v>
      </c>
      <c r="E23" s="17" t="n">
        <f aca="false">MAX(0,Inputs!B41-D23-Inputs!B42)</f>
        <v>107861.362847352</v>
      </c>
      <c r="F23" s="17" t="n">
        <f aca="false">D23+E23</f>
        <v>171050</v>
      </c>
      <c r="G23" s="17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18" t="n">
        <f aca="false">IFERROR(G23/F23,0)</f>
        <v>0.162157263957907</v>
      </c>
      <c r="I23" s="19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17" t="n">
        <f aca="false">MAX(0,B23-E23)</f>
        <v>378108.123258585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5" min="13" style="0" width="12"/>
    <col collapsed="false" customWidth="true" hidden="false" outlineLevel="0" max="16" min="16" style="0" width="13"/>
  </cols>
  <sheetData>
    <row r="1" customFormat="false" ht="30" hidden="false" customHeight="true" outlineLevel="0" collapsed="false">
      <c r="A1" s="8" t="s">
        <v>63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customFormat="false" ht="42" hidden="false" customHeight="true" outlineLevel="0" collapsed="false">
      <c r="A2" s="9" t="s">
        <v>53</v>
      </c>
      <c r="B2" s="9" t="s">
        <v>64</v>
      </c>
      <c r="C2" s="9" t="s">
        <v>65</v>
      </c>
      <c r="D2" s="9" t="s">
        <v>66</v>
      </c>
      <c r="E2" s="9" t="s">
        <v>67</v>
      </c>
      <c r="F2" s="9" t="s">
        <v>68</v>
      </c>
      <c r="G2" s="9" t="s">
        <v>69</v>
      </c>
      <c r="H2" s="9" t="s">
        <v>70</v>
      </c>
      <c r="I2" s="9" t="s">
        <v>71</v>
      </c>
      <c r="J2" s="9" t="s">
        <v>72</v>
      </c>
      <c r="K2" s="9" t="s">
        <v>73</v>
      </c>
      <c r="L2" s="9" t="s">
        <v>74</v>
      </c>
      <c r="M2" s="9" t="s">
        <v>75</v>
      </c>
      <c r="N2" s="9" t="s">
        <v>59</v>
      </c>
      <c r="O2" s="9" t="s">
        <v>76</v>
      </c>
      <c r="P2" s="9" t="s">
        <v>77</v>
      </c>
    </row>
    <row r="3" customFormat="false" ht="15" hidden="false" customHeight="false" outlineLevel="0" collapsed="false">
      <c r="A3" s="10" t="n">
        <v>65</v>
      </c>
      <c r="B3" s="11" t="n">
        <f aca="false">Inputs!B29*12*(1+Inputs!B20)^0</f>
        <v>84000</v>
      </c>
      <c r="C3" s="11" t="n">
        <f aca="false">Inputs!B30*12</f>
        <v>36000</v>
      </c>
      <c r="D3" s="11" t="n">
        <f aca="false">Inputs!B31+Inputs!B32</f>
        <v>16500</v>
      </c>
      <c r="E3" s="11" t="n">
        <f aca="false">IF(60&lt;65,Inputs!B35*12,0)</f>
        <v>9600</v>
      </c>
      <c r="F3" s="11" t="n">
        <f aca="false">Inputs!B33*12*(1+Inputs!B34)^0</f>
        <v>2220</v>
      </c>
      <c r="G3" s="20" t="n">
        <f aca="false">B3+C3+D3+E3+F3</f>
        <v>148320</v>
      </c>
      <c r="H3" s="11" t="n">
        <f aca="false">IF(65&gt;=Inputs!B25,IF(Inputs!B25=65,Inputs!B22*12,IF(Inputs!B25=70,Inputs!B24*12,Inputs!B23*12))*(1+Inputs!B21)^MAX(0,65-Inputs!B25),0)</f>
        <v>0</v>
      </c>
      <c r="I3" s="11" t="n">
        <f aca="false">IF(60&gt;=Inputs!B26,Inputs!B23*12*0.5*(1+Inputs!B21)^MAX(0,60-Inputs!B26),0)</f>
        <v>0</v>
      </c>
      <c r="J3" s="11" t="n">
        <f aca="false">'Roth Conversion'!E3</f>
        <v>171050</v>
      </c>
      <c r="K3" s="11" t="n">
        <f aca="false">MAX(0,G3-H3-I3-J3)*0.4</f>
        <v>0</v>
      </c>
      <c r="L3" s="11" t="n">
        <f aca="false">MAX(0,G3-H3-I3-J3-K3)</f>
        <v>0</v>
      </c>
      <c r="M3" s="11" t="n">
        <f aca="false">F3</f>
        <v>2220</v>
      </c>
      <c r="N3" s="11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1" t="n">
        <f aca="false">J3*0.0637</f>
        <v>10895.885</v>
      </c>
      <c r="P3" s="21" t="n">
        <f aca="false">H3+I3+J3+K3+L3-G3-N3-O3</f>
        <v>-15902.885</v>
      </c>
    </row>
    <row r="4" customFormat="false" ht="15" hidden="false" customHeight="false" outlineLevel="0" collapsed="false">
      <c r="A4" s="10" t="n">
        <v>66</v>
      </c>
      <c r="B4" s="14" t="n">
        <f aca="false">Inputs!B29*12*(1+Inputs!B20)^1</f>
        <v>86520</v>
      </c>
      <c r="C4" s="14" t="n">
        <f aca="false">Inputs!B30*12</f>
        <v>36000</v>
      </c>
      <c r="D4" s="14" t="n">
        <f aca="false">Inputs!B31+Inputs!B32</f>
        <v>16500</v>
      </c>
      <c r="E4" s="14" t="n">
        <f aca="false">IF(61&lt;65,Inputs!B35*12,0)</f>
        <v>9600</v>
      </c>
      <c r="F4" s="14" t="n">
        <f aca="false">Inputs!B33*12*(1+Inputs!B34)^1</f>
        <v>2331</v>
      </c>
      <c r="G4" s="22" t="n">
        <f aca="false">B4+C4+D4+E4+F4</f>
        <v>150951</v>
      </c>
      <c r="H4" s="14" t="n">
        <f aca="false">IF(66&gt;=Inputs!B25,IF(Inputs!B25=65,Inputs!B22*12,IF(Inputs!B25=70,Inputs!B24*12,Inputs!B23*12))*(1+Inputs!B21)^MAX(0,66-Inputs!B25),0)</f>
        <v>0</v>
      </c>
      <c r="I4" s="14" t="n">
        <f aca="false">IF(61&gt;=Inputs!B26,Inputs!B23*12*0.5*(1+Inputs!B21)^MAX(0,61-Inputs!B26),0)</f>
        <v>0</v>
      </c>
      <c r="J4" s="14" t="n">
        <f aca="false">'Roth Conversion'!E4</f>
        <v>171050</v>
      </c>
      <c r="K4" s="14" t="n">
        <f aca="false">MAX(0,G4-H4-I4-J4)*0.4</f>
        <v>0</v>
      </c>
      <c r="L4" s="14" t="n">
        <f aca="false">MAX(0,G4-H4-I4-J4-K4)</f>
        <v>0</v>
      </c>
      <c r="M4" s="14" t="n">
        <f aca="false">F4</f>
        <v>2331</v>
      </c>
      <c r="N4" s="14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14" t="n">
        <f aca="false">J4*0.0637</f>
        <v>10895.885</v>
      </c>
      <c r="P4" s="23" t="n">
        <f aca="false">H4+I4+J4+K4+L4-G4-N4-O4</f>
        <v>-18533.885</v>
      </c>
    </row>
    <row r="5" customFormat="false" ht="15" hidden="false" customHeight="false" outlineLevel="0" collapsed="false">
      <c r="A5" s="10" t="n">
        <v>67</v>
      </c>
      <c r="B5" s="11" t="n">
        <f aca="false">Inputs!B29*12*(1+Inputs!B20)^2</f>
        <v>89115.6</v>
      </c>
      <c r="C5" s="11" t="n">
        <f aca="false">Inputs!B30*12</f>
        <v>36000</v>
      </c>
      <c r="D5" s="11" t="n">
        <f aca="false">Inputs!B31+Inputs!B32</f>
        <v>16500</v>
      </c>
      <c r="E5" s="11" t="n">
        <f aca="false">IF(62&lt;65,Inputs!B35*12,0)</f>
        <v>9600</v>
      </c>
      <c r="F5" s="11" t="n">
        <f aca="false">Inputs!B33*12*(1+Inputs!B34)^2</f>
        <v>2447.55</v>
      </c>
      <c r="G5" s="20" t="n">
        <f aca="false">B5+C5+D5+E5+F5</f>
        <v>153663.15</v>
      </c>
      <c r="H5" s="11" t="n">
        <f aca="false">IF(67&gt;=Inputs!B25,IF(Inputs!B25=65,Inputs!B22*12,IF(Inputs!B25=70,Inputs!B24*12,Inputs!B23*12))*(1+Inputs!B21)^MAX(0,67-Inputs!B25),0)</f>
        <v>47664</v>
      </c>
      <c r="I5" s="11" t="n">
        <f aca="false">IF(62&gt;=Inputs!B26,Inputs!B23*12*0.5*(1+Inputs!B21)^MAX(0,62-Inputs!B26),0)</f>
        <v>0</v>
      </c>
      <c r="J5" s="11" t="n">
        <f aca="false">'Roth Conversion'!E5</f>
        <v>130535.6</v>
      </c>
      <c r="K5" s="11" t="n">
        <f aca="false">MAX(0,G5-H5-I5-J5)*0.4</f>
        <v>0</v>
      </c>
      <c r="L5" s="11" t="n">
        <f aca="false">MAX(0,G5-H5-I5-J5-K5)</f>
        <v>0</v>
      </c>
      <c r="M5" s="11" t="n">
        <f aca="false">F5</f>
        <v>2447.55</v>
      </c>
      <c r="N5" s="11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1" t="n">
        <f aca="false">J5*0.0637</f>
        <v>8315.11772</v>
      </c>
      <c r="P5" s="21" t="n">
        <f aca="false">H5+I5+J5+K5+L5-G5-N5-O5</f>
        <v>-11515.66772</v>
      </c>
    </row>
    <row r="6" customFormat="false" ht="15" hidden="false" customHeight="false" outlineLevel="0" collapsed="false">
      <c r="A6" s="10" t="n">
        <v>68</v>
      </c>
      <c r="B6" s="14" t="n">
        <f aca="false">Inputs!B29*12*(1+Inputs!B20)^3</f>
        <v>91789.068</v>
      </c>
      <c r="C6" s="14" t="n">
        <f aca="false">Inputs!B30*12</f>
        <v>36000</v>
      </c>
      <c r="D6" s="14" t="n">
        <f aca="false">Inputs!B31+Inputs!B32</f>
        <v>16500</v>
      </c>
      <c r="E6" s="14" t="n">
        <f aca="false">IF(63&lt;65,Inputs!B35*12,0)</f>
        <v>9600</v>
      </c>
      <c r="F6" s="14" t="n">
        <f aca="false">Inputs!B33*12*(1+Inputs!B34)^3</f>
        <v>2569.9275</v>
      </c>
      <c r="G6" s="22" t="n">
        <f aca="false">B6+C6+D6+E6+F6</f>
        <v>156458.9955</v>
      </c>
      <c r="H6" s="14" t="n">
        <f aca="false">IF(68&gt;=Inputs!B25,IF(Inputs!B25=65,Inputs!B22*12,IF(Inputs!B25=70,Inputs!B24*12,Inputs!B23*12))*(1+Inputs!B21)^MAX(0,68-Inputs!B25),0)</f>
        <v>48855.6</v>
      </c>
      <c r="I6" s="14" t="n">
        <f aca="false">IF(63&gt;=Inputs!B26,Inputs!B23*12*0.5*(1+Inputs!B21)^MAX(0,63-Inputs!B26),0)</f>
        <v>0</v>
      </c>
      <c r="J6" s="14" t="n">
        <f aca="false">'Roth Conversion'!E6</f>
        <v>129522.74</v>
      </c>
      <c r="K6" s="14" t="n">
        <f aca="false">MAX(0,G6-H6-I6-J6)*0.4</f>
        <v>0</v>
      </c>
      <c r="L6" s="14" t="n">
        <f aca="false">MAX(0,G6-H6-I6-J6-K6)</f>
        <v>0</v>
      </c>
      <c r="M6" s="14" t="n">
        <f aca="false">F6</f>
        <v>2569.9275</v>
      </c>
      <c r="N6" s="14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14" t="n">
        <f aca="false">J6*0.0637</f>
        <v>8250.598538</v>
      </c>
      <c r="P6" s="23" t="n">
        <f aca="false">H6+I6+J6+K6+L6-G6-N6-O6</f>
        <v>-14068.254038</v>
      </c>
    </row>
    <row r="7" customFormat="false" ht="15" hidden="false" customHeight="false" outlineLevel="0" collapsed="false">
      <c r="A7" s="10" t="n">
        <v>69</v>
      </c>
      <c r="B7" s="11" t="n">
        <f aca="false">Inputs!B29*12*(1+Inputs!B20)^4</f>
        <v>94542.74004</v>
      </c>
      <c r="C7" s="11" t="n">
        <f aca="false">Inputs!B30*12</f>
        <v>36000</v>
      </c>
      <c r="D7" s="11" t="n">
        <f aca="false">Inputs!B31+Inputs!B32</f>
        <v>16500</v>
      </c>
      <c r="E7" s="11" t="n">
        <f aca="false">IF(64&lt;65,Inputs!B35*12,0)</f>
        <v>9600</v>
      </c>
      <c r="F7" s="11" t="n">
        <f aca="false">Inputs!B33*12*(1+Inputs!B34)^4</f>
        <v>2698.423875</v>
      </c>
      <c r="G7" s="20" t="n">
        <f aca="false">B7+C7+D7+E7+F7</f>
        <v>159341.163915</v>
      </c>
      <c r="H7" s="11" t="n">
        <f aca="false">IF(69&gt;=Inputs!B25,IF(Inputs!B25=65,Inputs!B22*12,IF(Inputs!B25=70,Inputs!B24*12,Inputs!B23*12))*(1+Inputs!B21)^MAX(0,69-Inputs!B25),0)</f>
        <v>50076.99</v>
      </c>
      <c r="I7" s="11" t="n">
        <f aca="false">IF(64&gt;=Inputs!B26,Inputs!B23*12*0.5*(1+Inputs!B21)^MAX(0,64-Inputs!B26),0)</f>
        <v>0</v>
      </c>
      <c r="J7" s="11" t="n">
        <f aca="false">'Roth Conversion'!E7</f>
        <v>128484.5585</v>
      </c>
      <c r="K7" s="11" t="n">
        <f aca="false">MAX(0,G7-H7-I7-J7)*0.4</f>
        <v>0</v>
      </c>
      <c r="L7" s="11" t="n">
        <f aca="false">MAX(0,G7-H7-I7-J7-K7)</f>
        <v>0</v>
      </c>
      <c r="M7" s="11" t="n">
        <f aca="false">F7</f>
        <v>2698.423875</v>
      </c>
      <c r="N7" s="11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1" t="n">
        <f aca="false">J7*0.0637</f>
        <v>8184.46637645</v>
      </c>
      <c r="P7" s="21" t="n">
        <f aca="false">H7+I7+J7+K7+L7-G7-N7-O7</f>
        <v>-16701.08179145</v>
      </c>
    </row>
    <row r="8" customFormat="false" ht="15" hidden="false" customHeight="false" outlineLevel="0" collapsed="false">
      <c r="A8" s="10" t="n">
        <v>70</v>
      </c>
      <c r="B8" s="14" t="n">
        <f aca="false">Inputs!B29*12*(1+Inputs!B20)^5</f>
        <v>97379.0222412</v>
      </c>
      <c r="C8" s="14" t="n">
        <f aca="false">Inputs!B30*12</f>
        <v>36000</v>
      </c>
      <c r="D8" s="14" t="n">
        <f aca="false">Inputs!B31+Inputs!B32</f>
        <v>16500</v>
      </c>
      <c r="E8" s="14" t="n">
        <f aca="false">IF(65&lt;65,Inputs!B35*12,0)</f>
        <v>0</v>
      </c>
      <c r="F8" s="14" t="n">
        <f aca="false">Inputs!B33*12*(1+Inputs!B34)^5</f>
        <v>2833.34506875</v>
      </c>
      <c r="G8" s="22" t="n">
        <f aca="false">B8+C8+D8+E8+F8</f>
        <v>152712.36730995</v>
      </c>
      <c r="H8" s="14" t="n">
        <f aca="false">IF(70&gt;=Inputs!B25,IF(Inputs!B25=65,Inputs!B22*12,IF(Inputs!B25=70,Inputs!B24*12,Inputs!B23*12))*(1+Inputs!B21)^MAX(0,70-Inputs!B25),0)</f>
        <v>51328.91475</v>
      </c>
      <c r="I8" s="14" t="n">
        <f aca="false">IF(65&gt;=Inputs!B26,Inputs!B23*12*0.5*(1+Inputs!B21)^MAX(0,65-Inputs!B26),0)</f>
        <v>23832</v>
      </c>
      <c r="J8" s="14" t="n">
        <f aca="false">'Roth Conversion'!E8</f>
        <v>127420.4224625</v>
      </c>
      <c r="K8" s="14" t="n">
        <f aca="false">MAX(0,G8-H8-I8-J8)*0.4</f>
        <v>0</v>
      </c>
      <c r="L8" s="14" t="n">
        <f aca="false">MAX(0,G8-H8-I8-J8-K8)</f>
        <v>0</v>
      </c>
      <c r="M8" s="14" t="n">
        <f aca="false">F8</f>
        <v>2833.34506875</v>
      </c>
      <c r="N8" s="14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14" t="n">
        <f aca="false">J8*0.0637</f>
        <v>8116.68091086125</v>
      </c>
      <c r="P8" s="23" t="n">
        <f aca="false">H8+I8+J8+K8+L8-G8-N8-O8</f>
        <v>14015.2889916887</v>
      </c>
    </row>
    <row r="9" customFormat="false" ht="15" hidden="false" customHeight="false" outlineLevel="0" collapsed="false">
      <c r="A9" s="10" t="n">
        <v>71</v>
      </c>
      <c r="B9" s="11" t="n">
        <f aca="false">Inputs!B29*12*(1+Inputs!B20)^6</f>
        <v>100300.392908436</v>
      </c>
      <c r="C9" s="11" t="n">
        <f aca="false">Inputs!B30*12</f>
        <v>36000</v>
      </c>
      <c r="D9" s="11" t="n">
        <f aca="false">Inputs!B31+Inputs!B32</f>
        <v>16500</v>
      </c>
      <c r="E9" s="11" t="n">
        <f aca="false">IF(66&lt;65,Inputs!B35*12,0)</f>
        <v>0</v>
      </c>
      <c r="F9" s="11" t="n">
        <f aca="false">Inputs!B33*12*(1+Inputs!B34)^6</f>
        <v>2975.0123221875</v>
      </c>
      <c r="G9" s="20" t="n">
        <f aca="false">B9+C9+D9+E9+F9</f>
        <v>155775.405230624</v>
      </c>
      <c r="H9" s="11" t="n">
        <f aca="false">IF(71&gt;=Inputs!B25,IF(Inputs!B25=65,Inputs!B22*12,IF(Inputs!B25=70,Inputs!B24*12,Inputs!B23*12))*(1+Inputs!B21)^MAX(0,71-Inputs!B25),0)</f>
        <v>52612.13761875</v>
      </c>
      <c r="I9" s="11" t="n">
        <f aca="false">IF(66&gt;=Inputs!B26,Inputs!B23*12*0.5*(1+Inputs!B21)^MAX(0,66-Inputs!B26),0)</f>
        <v>24427.8</v>
      </c>
      <c r="J9" s="11" t="n">
        <f aca="false">'Roth Conversion'!E9</f>
        <v>126329.683024063</v>
      </c>
      <c r="K9" s="11" t="n">
        <f aca="false">MAX(0,G9-H9-I9-J9)*0.4</f>
        <v>0</v>
      </c>
      <c r="L9" s="11" t="n">
        <f aca="false">MAX(0,G9-H9-I9-J9-K9)</f>
        <v>0</v>
      </c>
      <c r="M9" s="11" t="n">
        <f aca="false">F9</f>
        <v>2975.0123221875</v>
      </c>
      <c r="N9" s="11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1" t="n">
        <f aca="false">J9*0.0637</f>
        <v>8047.20080863278</v>
      </c>
      <c r="P9" s="21" t="n">
        <f aca="false">H9+I9+J9+K9+L9-G9-N9-O9</f>
        <v>11810.0146035562</v>
      </c>
    </row>
    <row r="10" customFormat="false" ht="15" hidden="false" customHeight="false" outlineLevel="0" collapsed="false">
      <c r="A10" s="10" t="n">
        <v>72</v>
      </c>
      <c r="B10" s="14" t="n">
        <f aca="false">Inputs!B29*12*(1+Inputs!B20)^7</f>
        <v>103309.404695689</v>
      </c>
      <c r="C10" s="14" t="n">
        <f aca="false">Inputs!B30*12</f>
        <v>36000</v>
      </c>
      <c r="D10" s="14" t="n">
        <f aca="false">Inputs!B31+Inputs!B32</f>
        <v>16500</v>
      </c>
      <c r="E10" s="14" t="n">
        <f aca="false">IF(67&lt;65,Inputs!B35*12,0)</f>
        <v>0</v>
      </c>
      <c r="F10" s="14" t="n">
        <f aca="false">Inputs!B33*12*(1+Inputs!B34)^7</f>
        <v>3123.76293829688</v>
      </c>
      <c r="G10" s="22" t="n">
        <f aca="false">B10+C10+D10+E10+F10</f>
        <v>158933.167633986</v>
      </c>
      <c r="H10" s="14" t="n">
        <f aca="false">IF(72&gt;=Inputs!B25,IF(Inputs!B25=65,Inputs!B22*12,IF(Inputs!B25=70,Inputs!B24*12,Inputs!B23*12))*(1+Inputs!B21)^MAX(0,72-Inputs!B25),0)</f>
        <v>53927.4410592187</v>
      </c>
      <c r="I10" s="14" t="n">
        <f aca="false">IF(67&gt;=Inputs!B26,Inputs!B23*12*0.5*(1+Inputs!B21)^MAX(0,67-Inputs!B26),0)</f>
        <v>25038.495</v>
      </c>
      <c r="J10" s="14" t="n">
        <f aca="false">'Roth Conversion'!E10</f>
        <v>125211.675099664</v>
      </c>
      <c r="K10" s="14" t="n">
        <f aca="false">MAX(0,G10-H10-I10-J10)*0.4</f>
        <v>0</v>
      </c>
      <c r="L10" s="14" t="n">
        <f aca="false">MAX(0,G10-H10-I10-J10-K10)</f>
        <v>0</v>
      </c>
      <c r="M10" s="14" t="n">
        <f aca="false">F10</f>
        <v>3123.76293829688</v>
      </c>
      <c r="N10" s="14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14" t="n">
        <f aca="false">J10*0.0637</f>
        <v>7975.9837038486</v>
      </c>
      <c r="P10" s="23" t="n">
        <f aca="false">H10+I10+J10+K10+L10-G10-N10-O10</f>
        <v>9531.45982104821</v>
      </c>
    </row>
    <row r="11" customFormat="false" ht="15" hidden="false" customHeight="false" outlineLevel="0" collapsed="false">
      <c r="A11" s="10" t="n">
        <v>73</v>
      </c>
      <c r="B11" s="17" t="n">
        <f aca="false">Inputs!B29*12*(1+Inputs!B20)^8</f>
        <v>106408.68683656</v>
      </c>
      <c r="C11" s="17" t="n">
        <f aca="false">Inputs!B30*12</f>
        <v>36000</v>
      </c>
      <c r="D11" s="17" t="n">
        <f aca="false">Inputs!B31+Inputs!B32</f>
        <v>16500</v>
      </c>
      <c r="E11" s="17" t="n">
        <f aca="false">IF(68&lt;65,Inputs!B35*12,0)</f>
        <v>0</v>
      </c>
      <c r="F11" s="17" t="n">
        <f aca="false">Inputs!B33*12*(1+Inputs!B34)^8</f>
        <v>3279.95108521172</v>
      </c>
      <c r="G11" s="24" t="n">
        <f aca="false">B11+C11+D11+E11+F11</f>
        <v>162188.637921772</v>
      </c>
      <c r="H11" s="17" t="n">
        <f aca="false">IF(73&gt;=Inputs!B25,IF(Inputs!B25=65,Inputs!B22*12,IF(Inputs!B25=70,Inputs!B24*12,Inputs!B23*12))*(1+Inputs!B21)^MAX(0,73-Inputs!B25),0)</f>
        <v>55275.6270856992</v>
      </c>
      <c r="I11" s="17" t="n">
        <f aca="false">IF(68&gt;=Inputs!B26,Inputs!B23*12*0.5*(1+Inputs!B21)^MAX(0,68-Inputs!B26),0)</f>
        <v>25664.457375</v>
      </c>
      <c r="J11" s="17" t="n">
        <f aca="false">'Roth Conversion'!E11</f>
        <v>124065.716977156</v>
      </c>
      <c r="K11" s="17" t="n">
        <f aca="false">MAX(0,G11-H11-I11-J11)*0.4</f>
        <v>0</v>
      </c>
      <c r="L11" s="17" t="n">
        <f aca="false">MAX(0,G11-H11-I11-J11-K11)</f>
        <v>0</v>
      </c>
      <c r="M11" s="17" t="n">
        <f aca="false">F11</f>
        <v>3279.95108521172</v>
      </c>
      <c r="N11" s="17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17" t="n">
        <f aca="false">J11*0.0637</f>
        <v>7902.98617144482</v>
      </c>
      <c r="P11" s="25" t="n">
        <f aca="false">H11+I11+J11+K11+L11-G11-N11-O11</f>
        <v>7177.17734463854</v>
      </c>
    </row>
    <row r="12" customFormat="false" ht="15" hidden="false" customHeight="false" outlineLevel="0" collapsed="false">
      <c r="A12" s="10" t="n">
        <v>74</v>
      </c>
      <c r="B12" s="17" t="n">
        <f aca="false">Inputs!B29*12*(1+Inputs!B20)^9</f>
        <v>109600.947441657</v>
      </c>
      <c r="C12" s="17" t="n">
        <f aca="false">Inputs!B30*12</f>
        <v>36000</v>
      </c>
      <c r="D12" s="17" t="n">
        <f aca="false">Inputs!B31+Inputs!B32</f>
        <v>16500</v>
      </c>
      <c r="E12" s="17" t="n">
        <f aca="false">IF(69&lt;65,Inputs!B35*12,0)</f>
        <v>0</v>
      </c>
      <c r="F12" s="17" t="n">
        <f aca="false">Inputs!B33*12*(1+Inputs!B34)^9</f>
        <v>3443.94863947231</v>
      </c>
      <c r="G12" s="24" t="n">
        <f aca="false">B12+C12+D12+E12+F12</f>
        <v>165544.896081129</v>
      </c>
      <c r="H12" s="17" t="n">
        <f aca="false">IF(74&gt;=Inputs!B25,IF(Inputs!B25=65,Inputs!B22*12,IF(Inputs!B25=70,Inputs!B24*12,Inputs!B23*12))*(1+Inputs!B21)^MAX(0,74-Inputs!B25),0)</f>
        <v>56657.5177628417</v>
      </c>
      <c r="I12" s="17" t="n">
        <f aca="false">IF(69&gt;=Inputs!B26,Inputs!B23*12*0.5*(1+Inputs!B21)^MAX(0,69-Inputs!B26),0)</f>
        <v>26306.068809375</v>
      </c>
      <c r="J12" s="17" t="n">
        <f aca="false">'Roth Conversion'!E12</f>
        <v>122891.109901585</v>
      </c>
      <c r="K12" s="17" t="n">
        <f aca="false">MAX(0,G12-H12-I12-J12)*0.4</f>
        <v>0</v>
      </c>
      <c r="L12" s="17" t="n">
        <f aca="false">MAX(0,G12-H12-I12-J12-K12)</f>
        <v>0</v>
      </c>
      <c r="M12" s="17" t="n">
        <f aca="false">F12</f>
        <v>3443.94863947231</v>
      </c>
      <c r="N12" s="17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17" t="n">
        <f aca="false">J12*0.0637</f>
        <v>7828.16370073094</v>
      </c>
      <c r="P12" s="25" t="n">
        <f aca="false">H12+I12+J12+K12+L12-G12-N12-O12</f>
        <v>4744.63669194142</v>
      </c>
    </row>
    <row r="13" customFormat="false" ht="15" hidden="false" customHeight="false" outlineLevel="0" collapsed="false">
      <c r="A13" s="10" t="n">
        <v>75</v>
      </c>
      <c r="B13" s="17" t="n">
        <f aca="false">Inputs!B29*12*(1+Inputs!B20)^10</f>
        <v>112888.975864906</v>
      </c>
      <c r="C13" s="17" t="n">
        <f aca="false">Inputs!B30*12</f>
        <v>36000</v>
      </c>
      <c r="D13" s="17" t="n">
        <f aca="false">Inputs!B31+Inputs!B32</f>
        <v>16500</v>
      </c>
      <c r="E13" s="17" t="n">
        <f aca="false">IF(70&lt;65,Inputs!B35*12,0)</f>
        <v>0</v>
      </c>
      <c r="F13" s="17" t="n">
        <f aca="false">Inputs!B33*12*(1+Inputs!B34)^10</f>
        <v>3616.14607144592</v>
      </c>
      <c r="G13" s="24" t="n">
        <f aca="false">B13+C13+D13+E13+F13</f>
        <v>169005.121936352</v>
      </c>
      <c r="H13" s="17" t="n">
        <f aca="false">IF(75&gt;=Inputs!B25,IF(Inputs!B25=65,Inputs!B22*12,IF(Inputs!B25=70,Inputs!B24*12,Inputs!B23*12))*(1+Inputs!B21)^MAX(0,75-Inputs!B25),0)</f>
        <v>58073.9557069127</v>
      </c>
      <c r="I13" s="17" t="n">
        <f aca="false">IF(70&gt;=Inputs!B26,Inputs!B23*12*0.5*(1+Inputs!B21)^MAX(0,70-Inputs!B26),0)</f>
        <v>26963.7205296094</v>
      </c>
      <c r="J13" s="17" t="n">
        <f aca="false">'Roth Conversion'!E13</f>
        <v>121687.137649124</v>
      </c>
      <c r="K13" s="17" t="n">
        <f aca="false">MAX(0,G13-H13-I13-J13)*0.4</f>
        <v>0</v>
      </c>
      <c r="L13" s="17" t="n">
        <f aca="false">MAX(0,G13-H13-I13-J13-K13)</f>
        <v>0</v>
      </c>
      <c r="M13" s="17" t="n">
        <f aca="false">F13</f>
        <v>3616.14607144592</v>
      </c>
      <c r="N13" s="17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17" t="n">
        <f aca="false">J13*0.0637</f>
        <v>7751.47066824921</v>
      </c>
      <c r="P13" s="25" t="n">
        <f aca="false">H13+I13+J13+K13+L13-G13-N13-O13</f>
        <v>2231.22128104485</v>
      </c>
    </row>
    <row r="14" customFormat="false" ht="15" hidden="false" customHeight="false" outlineLevel="0" collapsed="false">
      <c r="A14" s="10" t="n">
        <v>76</v>
      </c>
      <c r="B14" s="17" t="n">
        <f aca="false">Inputs!B29*12*(1+Inputs!B20)^11</f>
        <v>116275.645140853</v>
      </c>
      <c r="C14" s="17" t="n">
        <f aca="false">Inputs!B30*12</f>
        <v>36000</v>
      </c>
      <c r="D14" s="17" t="n">
        <f aca="false">Inputs!B31+Inputs!B32</f>
        <v>16500</v>
      </c>
      <c r="E14" s="17" t="n">
        <f aca="false">IF(71&lt;65,Inputs!B35*12,0)</f>
        <v>0</v>
      </c>
      <c r="F14" s="17" t="n">
        <f aca="false">Inputs!B33*12*(1+Inputs!B34)^11</f>
        <v>3796.95337501822</v>
      </c>
      <c r="G14" s="24" t="n">
        <f aca="false">B14+C14+D14+E14+F14</f>
        <v>172572.598515872</v>
      </c>
      <c r="H14" s="17" t="n">
        <f aca="false">IF(76&gt;=Inputs!B25,IF(Inputs!B25=65,Inputs!B22*12,IF(Inputs!B25=70,Inputs!B24*12,Inputs!B23*12))*(1+Inputs!B21)^MAX(0,76-Inputs!B25),0)</f>
        <v>59525.8045995855</v>
      </c>
      <c r="I14" s="17" t="n">
        <f aca="false">IF(71&gt;=Inputs!B26,Inputs!B23*12*0.5*(1+Inputs!B21)^MAX(0,71-Inputs!B26),0)</f>
        <v>27637.8135428496</v>
      </c>
      <c r="J14" s="17" t="n">
        <f aca="false">'Roth Conversion'!E14</f>
        <v>120453.066090352</v>
      </c>
      <c r="K14" s="17" t="n">
        <f aca="false">MAX(0,G14-H14-I14-J14)*0.4</f>
        <v>0</v>
      </c>
      <c r="L14" s="17" t="n">
        <f aca="false">MAX(0,G14-H14-I14-J14-K14)</f>
        <v>0</v>
      </c>
      <c r="M14" s="17" t="n">
        <f aca="false">F14</f>
        <v>3796.95337501822</v>
      </c>
      <c r="N14" s="17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17" t="n">
        <f aca="false">J14*0.0637</f>
        <v>7672.86030995544</v>
      </c>
      <c r="P14" s="25" t="n">
        <f aca="false">H14+I14+J14+K14+L14-G14-N14-O14</f>
        <v>-365.774593039748</v>
      </c>
    </row>
    <row r="15" customFormat="false" ht="15" hidden="false" customHeight="false" outlineLevel="0" collapsed="false">
      <c r="A15" s="10" t="n">
        <v>77</v>
      </c>
      <c r="B15" s="17" t="n">
        <f aca="false">Inputs!B29*12*(1+Inputs!B20)^12</f>
        <v>119763.914495079</v>
      </c>
      <c r="C15" s="17" t="n">
        <f aca="false">Inputs!B30*12</f>
        <v>36000</v>
      </c>
      <c r="D15" s="17" t="n">
        <f aca="false">Inputs!B31+Inputs!B32</f>
        <v>16500</v>
      </c>
      <c r="E15" s="17" t="n">
        <f aca="false">IF(72&lt;65,Inputs!B35*12,0)</f>
        <v>0</v>
      </c>
      <c r="F15" s="17" t="n">
        <f aca="false">Inputs!B33*12*(1+Inputs!B34)^12</f>
        <v>3986.80104376913</v>
      </c>
      <c r="G15" s="24" t="n">
        <f aca="false">B15+C15+D15+E15+F15</f>
        <v>176250.715538848</v>
      </c>
      <c r="H15" s="17" t="n">
        <f aca="false">IF(77&gt;=Inputs!B25,IF(Inputs!B25=65,Inputs!B22*12,IF(Inputs!B25=70,Inputs!B24*12,Inputs!B23*12))*(1+Inputs!B21)^MAX(0,77-Inputs!B25),0)</f>
        <v>61013.9497145751</v>
      </c>
      <c r="I15" s="17" t="n">
        <f aca="false">IF(72&gt;=Inputs!B26,Inputs!B23*12*0.5*(1+Inputs!B21)^MAX(0,72-Inputs!B26),0)</f>
        <v>28328.7588814208</v>
      </c>
      <c r="J15" s="17" t="n">
        <f aca="false">'Roth Conversion'!E15</f>
        <v>119188.142742611</v>
      </c>
      <c r="K15" s="17" t="n">
        <f aca="false">MAX(0,G15-H15-I15-J15)*0.4</f>
        <v>0</v>
      </c>
      <c r="L15" s="17" t="n">
        <f aca="false">MAX(0,G15-H15-I15-J15-K15)</f>
        <v>0</v>
      </c>
      <c r="M15" s="17" t="n">
        <f aca="false">F15</f>
        <v>3986.80104376913</v>
      </c>
      <c r="N15" s="17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17" t="n">
        <f aca="false">J15*0.0637</f>
        <v>7592.28469270433</v>
      </c>
      <c r="P15" s="25" t="n">
        <f aca="false">H15+I15+J15+K15+L15-G15-N15-O15</f>
        <v>-3049.14889294547</v>
      </c>
    </row>
    <row r="16" customFormat="false" ht="15" hidden="false" customHeight="false" outlineLevel="0" collapsed="false">
      <c r="A16" s="10" t="n">
        <v>78</v>
      </c>
      <c r="B16" s="17" t="n">
        <f aca="false">Inputs!B29*12*(1+Inputs!B20)^13</f>
        <v>123356.831929931</v>
      </c>
      <c r="C16" s="17" t="n">
        <f aca="false">Inputs!B30*12</f>
        <v>36000</v>
      </c>
      <c r="D16" s="17" t="n">
        <f aca="false">Inputs!B31+Inputs!B32</f>
        <v>16500</v>
      </c>
      <c r="E16" s="17" t="n">
        <f aca="false">IF(73&lt;65,Inputs!B35*12,0)</f>
        <v>0</v>
      </c>
      <c r="F16" s="17" t="n">
        <f aca="false">Inputs!B33*12*(1+Inputs!B34)^13</f>
        <v>4186.14109595759</v>
      </c>
      <c r="G16" s="24" t="n">
        <f aca="false">B16+C16+D16+E16+F16</f>
        <v>180042.973025889</v>
      </c>
      <c r="H16" s="17" t="n">
        <f aca="false">IF(78&gt;=Inputs!B25,IF(Inputs!B25=65,Inputs!B22*12,IF(Inputs!B25=70,Inputs!B24*12,Inputs!B23*12))*(1+Inputs!B21)^MAX(0,78-Inputs!B25),0)</f>
        <v>62539.2984574395</v>
      </c>
      <c r="I16" s="17" t="n">
        <f aca="false">IF(73&gt;=Inputs!B26,Inputs!B23*12*0.5*(1+Inputs!B21)^MAX(0,73-Inputs!B26),0)</f>
        <v>29036.9778534564</v>
      </c>
      <c r="J16" s="17" t="n">
        <f aca="false">'Roth Conversion'!E16</f>
        <v>117891.596311176</v>
      </c>
      <c r="K16" s="17" t="n">
        <f aca="false">MAX(0,G16-H16-I16-J16)*0.4</f>
        <v>0</v>
      </c>
      <c r="L16" s="17" t="n">
        <f aca="false">MAX(0,G16-H16-I16-J16-K16)</f>
        <v>0</v>
      </c>
      <c r="M16" s="17" t="n">
        <f aca="false">F16</f>
        <v>4186.14109595759</v>
      </c>
      <c r="N16" s="17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17" t="n">
        <f aca="false">J16*0.0637</f>
        <v>7509.69468502194</v>
      </c>
      <c r="P16" s="25" t="n">
        <f aca="false">H16+I16+J16+K16+L16-G16-N16-O16</f>
        <v>-5821.79508883867</v>
      </c>
    </row>
    <row r="17" customFormat="false" ht="15" hidden="false" customHeight="false" outlineLevel="0" collapsed="false">
      <c r="A17" s="10" t="n">
        <v>79</v>
      </c>
      <c r="B17" s="17" t="n">
        <f aca="false">Inputs!B29*12*(1+Inputs!B20)^14</f>
        <v>127057.536887829</v>
      </c>
      <c r="C17" s="17" t="n">
        <f aca="false">Inputs!B30*12</f>
        <v>36000</v>
      </c>
      <c r="D17" s="17" t="n">
        <f aca="false">Inputs!B31+Inputs!B32</f>
        <v>16500</v>
      </c>
      <c r="E17" s="17" t="n">
        <f aca="false">IF(74&lt;65,Inputs!B35*12,0)</f>
        <v>0</v>
      </c>
      <c r="F17" s="17" t="n">
        <f aca="false">Inputs!B33*12*(1+Inputs!B34)^14</f>
        <v>4395.44815075547</v>
      </c>
      <c r="G17" s="24" t="n">
        <f aca="false">B17+C17+D17+E17+F17</f>
        <v>183952.985038585</v>
      </c>
      <c r="H17" s="17" t="n">
        <f aca="false">IF(79&gt;=Inputs!B25,IF(Inputs!B25=65,Inputs!B22*12,IF(Inputs!B25=70,Inputs!B24*12,Inputs!B23*12))*(1+Inputs!B21)^MAX(0,79-Inputs!B25),0)</f>
        <v>64102.7809188755</v>
      </c>
      <c r="I17" s="17" t="n">
        <f aca="false">IF(74&gt;=Inputs!B26,Inputs!B23*12*0.5*(1+Inputs!B21)^MAX(0,74-Inputs!B26),0)</f>
        <v>29762.9022997928</v>
      </c>
      <c r="J17" s="17" t="n">
        <f aca="false">'Roth Conversion'!E17</f>
        <v>116562.636218956</v>
      </c>
      <c r="K17" s="17" t="n">
        <f aca="false">MAX(0,G17-H17-I17-J17)*0.4</f>
        <v>0</v>
      </c>
      <c r="L17" s="17" t="n">
        <f aca="false">MAX(0,G17-H17-I17-J17-K17)</f>
        <v>0</v>
      </c>
      <c r="M17" s="17" t="n">
        <f aca="false">F17</f>
        <v>4395.44815075547</v>
      </c>
      <c r="N17" s="17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17" t="n">
        <f aca="false">J17*0.0637</f>
        <v>7425.03992714749</v>
      </c>
      <c r="P17" s="25" t="n">
        <f aca="false">H17+I17+J17+K17+L17-G17-N17-O17</f>
        <v>-8686.70552810827</v>
      </c>
    </row>
    <row r="18" customFormat="false" ht="15" hidden="false" customHeight="false" outlineLevel="0" collapsed="false">
      <c r="A18" s="10" t="n">
        <v>80</v>
      </c>
      <c r="B18" s="17" t="n">
        <f aca="false">Inputs!B29*12*(1+Inputs!B20)^15</f>
        <v>130869.262994464</v>
      </c>
      <c r="C18" s="17" t="n">
        <f aca="false">Inputs!B30*12</f>
        <v>36000</v>
      </c>
      <c r="D18" s="17" t="n">
        <f aca="false">Inputs!B31+Inputs!B32</f>
        <v>16500</v>
      </c>
      <c r="E18" s="17" t="n">
        <f aca="false">IF(75&lt;65,Inputs!B35*12,0)</f>
        <v>0</v>
      </c>
      <c r="F18" s="17" t="n">
        <f aca="false">Inputs!B33*12*(1+Inputs!B34)^15</f>
        <v>4615.22055829324</v>
      </c>
      <c r="G18" s="24" t="n">
        <f aca="false">B18+C18+D18+E18+F18</f>
        <v>187984.483552758</v>
      </c>
      <c r="H18" s="17" t="n">
        <f aca="false">IF(80&gt;=Inputs!B25,IF(Inputs!B25=65,Inputs!B22*12,IF(Inputs!B25=70,Inputs!B24*12,Inputs!B23*12))*(1+Inputs!B21)^MAX(0,80-Inputs!B25),0)</f>
        <v>65705.3504418474</v>
      </c>
      <c r="I18" s="17" t="n">
        <f aca="false">IF(75&gt;=Inputs!B26,Inputs!B23*12*0.5*(1+Inputs!B21)^MAX(0,75-Inputs!B26),0)</f>
        <v>30506.9748572876</v>
      </c>
      <c r="J18" s="17" t="n">
        <f aca="false">'Roth Conversion'!E18</f>
        <v>115200.45212443</v>
      </c>
      <c r="K18" s="17" t="n">
        <f aca="false">MAX(0,G18-H18-I18-J18)*0.4</f>
        <v>0</v>
      </c>
      <c r="L18" s="17" t="n">
        <f aca="false">MAX(0,G18-H18-I18-J18-K18)</f>
        <v>0</v>
      </c>
      <c r="M18" s="17" t="n">
        <f aca="false">F18</f>
        <v>4615.22055829324</v>
      </c>
      <c r="N18" s="17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17" t="n">
        <f aca="false">J18*0.0637</f>
        <v>7338.26880032618</v>
      </c>
      <c r="P18" s="25" t="n">
        <f aca="false">H18+I18+J18+K18+L18-G18-N18-O18</f>
        <v>-11646.974929519</v>
      </c>
    </row>
    <row r="19" customFormat="false" ht="15" hidden="false" customHeight="false" outlineLevel="0" collapsed="false">
      <c r="A19" s="10" t="n">
        <v>81</v>
      </c>
      <c r="B19" s="17" t="n">
        <f aca="false">Inputs!B29*12*(1+Inputs!B20)^16</f>
        <v>134795.340884298</v>
      </c>
      <c r="C19" s="17" t="n">
        <f aca="false">Inputs!B30*12</f>
        <v>36000</v>
      </c>
      <c r="D19" s="17" t="n">
        <f aca="false">Inputs!B31+Inputs!B32</f>
        <v>16500</v>
      </c>
      <c r="E19" s="17" t="n">
        <f aca="false">IF(76&lt;65,Inputs!B35*12,0)</f>
        <v>0</v>
      </c>
      <c r="F19" s="17" t="n">
        <f aca="false">Inputs!B33*12*(1+Inputs!B34)^16</f>
        <v>4845.9815862079</v>
      </c>
      <c r="G19" s="24" t="n">
        <f aca="false">B19+C19+D19+E19+F19</f>
        <v>192141.322470506</v>
      </c>
      <c r="H19" s="17" t="n">
        <f aca="false">IF(81&gt;=Inputs!B25,IF(Inputs!B25=65,Inputs!B22*12,IF(Inputs!B25=70,Inputs!B24*12,Inputs!B23*12))*(1+Inputs!B21)^MAX(0,81-Inputs!B25),0)</f>
        <v>67347.9842028936</v>
      </c>
      <c r="I19" s="17" t="n">
        <f aca="false">IF(76&gt;=Inputs!B26,Inputs!B23*12*0.5*(1+Inputs!B21)^MAX(0,76-Inputs!B26),0)</f>
        <v>31269.6492287198</v>
      </c>
      <c r="J19" s="17" t="n">
        <f aca="false">'Roth Conversion'!E19</f>
        <v>113804.21342754</v>
      </c>
      <c r="K19" s="17" t="n">
        <f aca="false">MAX(0,G19-H19-I19-J19)*0.4</f>
        <v>0</v>
      </c>
      <c r="L19" s="17" t="n">
        <f aca="false">MAX(0,G19-H19-I19-J19-K19)</f>
        <v>0</v>
      </c>
      <c r="M19" s="17" t="n">
        <f aca="false">F19</f>
        <v>4845.9815862079</v>
      </c>
      <c r="N19" s="17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17" t="n">
        <f aca="false">J19*0.0637</f>
        <v>7249.32839533433</v>
      </c>
      <c r="P19" s="25" t="n">
        <f aca="false">H19+I19+J19+K19+L19-G19-N19-O19</f>
        <v>-14705.8040066866</v>
      </c>
    </row>
    <row r="20" customFormat="false" ht="15" hidden="false" customHeight="false" outlineLevel="0" collapsed="false">
      <c r="A20" s="10" t="n">
        <v>82</v>
      </c>
      <c r="B20" s="17" t="n">
        <f aca="false">Inputs!B29*12*(1+Inputs!B20)^17</f>
        <v>138839.201110827</v>
      </c>
      <c r="C20" s="17" t="n">
        <f aca="false">Inputs!B30*12</f>
        <v>36000</v>
      </c>
      <c r="D20" s="17" t="n">
        <f aca="false">Inputs!B31+Inputs!B32</f>
        <v>16500</v>
      </c>
      <c r="E20" s="17" t="n">
        <f aca="false">IF(77&lt;65,Inputs!B35*12,0)</f>
        <v>0</v>
      </c>
      <c r="F20" s="17" t="n">
        <f aca="false">Inputs!B33*12*(1+Inputs!B34)^17</f>
        <v>5088.2806655183</v>
      </c>
      <c r="G20" s="24" t="n">
        <f aca="false">B20+C20+D20+E20+F20</f>
        <v>196427.481776345</v>
      </c>
      <c r="H20" s="17" t="n">
        <f aca="false">IF(82&gt;=Inputs!B25,IF(Inputs!B25=65,Inputs!B22*12,IF(Inputs!B25=70,Inputs!B24*12,Inputs!B23*12))*(1+Inputs!B21)^MAX(0,82-Inputs!B25),0)</f>
        <v>69031.6838079659</v>
      </c>
      <c r="I20" s="17" t="n">
        <f aca="false">IF(77&gt;=Inputs!B26,Inputs!B23*12*0.5*(1+Inputs!B21)^MAX(0,77-Inputs!B26),0)</f>
        <v>32051.3904594378</v>
      </c>
      <c r="J20" s="17" t="n">
        <f aca="false">'Roth Conversion'!E20</f>
        <v>112373.068763229</v>
      </c>
      <c r="K20" s="17" t="n">
        <f aca="false">MAX(0,G20-H20-I20-J20)*0.4</f>
        <v>0</v>
      </c>
      <c r="L20" s="17" t="n">
        <f aca="false">MAX(0,G20-H20-I20-J20-K20)</f>
        <v>0</v>
      </c>
      <c r="M20" s="17" t="n">
        <f aca="false">F20</f>
        <v>5088.2806655183</v>
      </c>
      <c r="N20" s="17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17" t="n">
        <f aca="false">J20*0.0637</f>
        <v>7158.16448021769</v>
      </c>
      <c r="P20" s="25" t="n">
        <f aca="false">H20+I20+J20+K20+L20-G20-N20-O20</f>
        <v>-17866.5032259305</v>
      </c>
    </row>
    <row r="21" customFormat="false" ht="15" hidden="false" customHeight="false" outlineLevel="0" collapsed="false">
      <c r="A21" s="10" t="n">
        <v>83</v>
      </c>
      <c r="B21" s="17" t="n">
        <f aca="false">Inputs!B29*12*(1+Inputs!B20)^18</f>
        <v>143004.377144152</v>
      </c>
      <c r="C21" s="17" t="n">
        <f aca="false">Inputs!B30*12</f>
        <v>36000</v>
      </c>
      <c r="D21" s="17" t="n">
        <f aca="false">Inputs!B31+Inputs!B32</f>
        <v>16500</v>
      </c>
      <c r="E21" s="17" t="n">
        <f aca="false">IF(78&lt;65,Inputs!B35*12,0)</f>
        <v>0</v>
      </c>
      <c r="F21" s="17" t="n">
        <f aca="false">Inputs!B33*12*(1+Inputs!B34)^18</f>
        <v>5342.69469879421</v>
      </c>
      <c r="G21" s="24" t="n">
        <f aca="false">B21+C21+D21+E21+F21</f>
        <v>200847.071842946</v>
      </c>
      <c r="H21" s="17" t="n">
        <f aca="false">IF(83&gt;=Inputs!B25,IF(Inputs!B25=65,Inputs!B22*12,IF(Inputs!B25=70,Inputs!B24*12,Inputs!B23*12))*(1+Inputs!B21)^MAX(0,83-Inputs!B25),0)</f>
        <v>70757.475903165</v>
      </c>
      <c r="I21" s="17" t="n">
        <f aca="false">IF(78&gt;=Inputs!B26,Inputs!B23*12*0.5*(1+Inputs!B21)^MAX(0,78-Inputs!B26),0)</f>
        <v>32852.6752209237</v>
      </c>
      <c r="J21" s="17" t="n">
        <f aca="false">'Roth Conversion'!E21</f>
        <v>110906.14548231</v>
      </c>
      <c r="K21" s="17" t="n">
        <f aca="false">MAX(0,G21-H21-I21-J21)*0.4</f>
        <v>0</v>
      </c>
      <c r="L21" s="17" t="n">
        <f aca="false">MAX(0,G21-H21-I21-J21-K21)</f>
        <v>0</v>
      </c>
      <c r="M21" s="17" t="n">
        <f aca="false">F21</f>
        <v>5342.69469879421</v>
      </c>
      <c r="N21" s="17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17" t="n">
        <f aca="false">J21*0.0637</f>
        <v>7064.72146722313</v>
      </c>
      <c r="P21" s="25" t="n">
        <f aca="false">H21+I21+J21+K21+L21-G21-N21-O21</f>
        <v>-21132.4967037709</v>
      </c>
    </row>
    <row r="22" customFormat="false" ht="15" hidden="false" customHeight="false" outlineLevel="0" collapsed="false">
      <c r="A22" s="10" t="n">
        <v>84</v>
      </c>
      <c r="B22" s="17" t="n">
        <f aca="false">Inputs!B29*12*(1+Inputs!B20)^19</f>
        <v>147294.508458477</v>
      </c>
      <c r="C22" s="17" t="n">
        <f aca="false">Inputs!B30*12</f>
        <v>36000</v>
      </c>
      <c r="D22" s="17" t="n">
        <f aca="false">Inputs!B31+Inputs!B32</f>
        <v>16500</v>
      </c>
      <c r="E22" s="17" t="n">
        <f aca="false">IF(79&lt;65,Inputs!B35*12,0)</f>
        <v>0</v>
      </c>
      <c r="F22" s="17" t="n">
        <f aca="false">Inputs!B33*12*(1+Inputs!B34)^19</f>
        <v>5609.82943373392</v>
      </c>
      <c r="G22" s="24" t="n">
        <f aca="false">B22+C22+D22+E22+F22</f>
        <v>205404.33789221</v>
      </c>
      <c r="H22" s="17" t="n">
        <f aca="false">IF(84&gt;=Inputs!B25,IF(Inputs!B25=65,Inputs!B22*12,IF(Inputs!B25=70,Inputs!B24*12,Inputs!B23*12))*(1+Inputs!B21)^MAX(0,84-Inputs!B25),0)</f>
        <v>72526.4128007442</v>
      </c>
      <c r="I22" s="17" t="n">
        <f aca="false">IF(79&gt;=Inputs!B26,Inputs!B23*12*0.5*(1+Inputs!B21)^MAX(0,79-Inputs!B26),0)</f>
        <v>33673.9921014468</v>
      </c>
      <c r="J22" s="17" t="n">
        <f aca="false">'Roth Conversion'!E22</f>
        <v>109402.549119367</v>
      </c>
      <c r="K22" s="17" t="n">
        <f aca="false">MAX(0,G22-H22-I22-J22)*0.4</f>
        <v>0</v>
      </c>
      <c r="L22" s="17" t="n">
        <f aca="false">MAX(0,G22-H22-I22-J22-K22)</f>
        <v>0</v>
      </c>
      <c r="M22" s="17" t="n">
        <f aca="false">F22</f>
        <v>5609.82943373392</v>
      </c>
      <c r="N22" s="17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17" t="n">
        <f aca="false">J22*0.0637</f>
        <v>6968.94237890371</v>
      </c>
      <c r="P22" s="25" t="n">
        <f aca="false">H22+I22+J22+K22+L22-G22-N22-O22</f>
        <v>-24507.3262495558</v>
      </c>
    </row>
    <row r="23" customFormat="false" ht="15" hidden="false" customHeight="false" outlineLevel="0" collapsed="false">
      <c r="A23" s="10" t="n">
        <v>85</v>
      </c>
      <c r="B23" s="17" t="n">
        <f aca="false">Inputs!B29*12*(1+Inputs!B20)^20</f>
        <v>151713.343712231</v>
      </c>
      <c r="C23" s="17" t="n">
        <f aca="false">Inputs!B30*12</f>
        <v>36000</v>
      </c>
      <c r="D23" s="17" t="n">
        <f aca="false">Inputs!B31+Inputs!B32</f>
        <v>16500</v>
      </c>
      <c r="E23" s="17" t="n">
        <f aca="false">IF(80&lt;65,Inputs!B35*12,0)</f>
        <v>0</v>
      </c>
      <c r="F23" s="17" t="n">
        <f aca="false">Inputs!B33*12*(1+Inputs!B34)^20</f>
        <v>5890.32090542062</v>
      </c>
      <c r="G23" s="24" t="n">
        <f aca="false">B23+C23+D23+E23+F23</f>
        <v>210103.664617651</v>
      </c>
      <c r="H23" s="17" t="n">
        <f aca="false">IF(85&gt;=Inputs!B25,IF(Inputs!B25=65,Inputs!B22*12,IF(Inputs!B25=70,Inputs!B24*12,Inputs!B23*12))*(1+Inputs!B21)^MAX(0,85-Inputs!B25),0)</f>
        <v>74339.5731207628</v>
      </c>
      <c r="I23" s="17" t="n">
        <f aca="false">IF(80&gt;=Inputs!B26,Inputs!B23*12*0.5*(1+Inputs!B21)^MAX(0,80-Inputs!B26),0)</f>
        <v>34515.8419039829</v>
      </c>
      <c r="J23" s="17" t="n">
        <f aca="false">'Roth Conversion'!E23</f>
        <v>107861.362847352</v>
      </c>
      <c r="K23" s="17" t="n">
        <f aca="false">MAX(0,G23-H23-I23-J23)*0.4</f>
        <v>0</v>
      </c>
      <c r="L23" s="17" t="n">
        <f aca="false">MAX(0,G23-H23-I23-J23-K23)</f>
        <v>0</v>
      </c>
      <c r="M23" s="17" t="n">
        <f aca="false">F23</f>
        <v>5890.32090542062</v>
      </c>
      <c r="N23" s="17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17" t="n">
        <f aca="false">J23*0.0637</f>
        <v>6870.7688133763</v>
      </c>
      <c r="P23" s="25" t="n">
        <f aca="false">H23+I23+J23+K23+L23-G23-N23-O23</f>
        <v>-27994.6555589304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6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30" hidden="false" customHeight="true" outlineLevel="0" collapsed="false">
      <c r="A1" s="8" t="s">
        <v>78</v>
      </c>
      <c r="B1" s="8"/>
      <c r="C1" s="8"/>
      <c r="D1" s="8"/>
      <c r="E1" s="8"/>
      <c r="F1" s="8"/>
      <c r="G1" s="8"/>
      <c r="H1" s="8"/>
      <c r="I1" s="8"/>
    </row>
    <row r="2" customFormat="false" ht="42" hidden="false" customHeight="true" outlineLevel="0" collapsed="false">
      <c r="A2" s="9" t="s">
        <v>53</v>
      </c>
      <c r="B2" s="9" t="s">
        <v>79</v>
      </c>
      <c r="C2" s="9" t="s">
        <v>80</v>
      </c>
      <c r="D2" s="9" t="s">
        <v>81</v>
      </c>
      <c r="E2" s="9" t="s">
        <v>82</v>
      </c>
      <c r="F2" s="9" t="s">
        <v>83</v>
      </c>
      <c r="G2" s="9" t="s">
        <v>84</v>
      </c>
      <c r="H2" s="9" t="s">
        <v>85</v>
      </c>
      <c r="I2" s="9" t="s">
        <v>86</v>
      </c>
    </row>
    <row r="3" customFormat="false" ht="15" hidden="false" customHeight="false" outlineLevel="0" collapsed="false">
      <c r="A3" s="26" t="n">
        <v>56</v>
      </c>
      <c r="B3" s="27" t="n">
        <f aca="false">Inputs!B9+Inputs!B11*(1+Inputs!B12/100)</f>
        <v>3037518.75</v>
      </c>
      <c r="C3" s="27" t="n">
        <f aca="false">(Inputs!B10+Inputs!B13)*(1+Inputs!B19)</f>
        <v>810000</v>
      </c>
      <c r="D3" s="27" t="n">
        <f aca="false">Inputs!E11*(1+Inputs!B19)</f>
        <v>10800</v>
      </c>
      <c r="E3" s="27" t="n">
        <f aca="false">Inputs!E10*(1+Inputs!B19)</f>
        <v>54000</v>
      </c>
      <c r="F3" s="27" t="n">
        <f aca="false">(Inputs!B14+Inputs!B15)*(1+Inputs!B19)</f>
        <v>116640</v>
      </c>
      <c r="G3" s="27" t="n">
        <f aca="false">Inputs!B16*(1+Inputs!B19)</f>
        <v>540000</v>
      </c>
      <c r="H3" s="28" t="n">
        <f aca="false">SUM(B3:G3)</f>
        <v>4568958.75</v>
      </c>
      <c r="I3" s="29" t="n">
        <f aca="false">H3+Inputs!B36</f>
        <v>5368958.75</v>
      </c>
    </row>
    <row r="4" customFormat="false" ht="15" hidden="false" customHeight="false" outlineLevel="0" collapsed="false">
      <c r="A4" s="26" t="n">
        <v>57</v>
      </c>
      <c r="B4" s="27" t="n">
        <f aca="false">B3*(1+Inputs!B19)+Inputs!B11*(1+Inputs!B12/100)</f>
        <v>3318039</v>
      </c>
      <c r="C4" s="27" t="n">
        <f aca="false">C3*(1+Inputs!B19)</f>
        <v>874800</v>
      </c>
      <c r="D4" s="27" t="n">
        <f aca="false">D3*(1+Inputs!B19)</f>
        <v>11664</v>
      </c>
      <c r="E4" s="27" t="n">
        <f aca="false">E3*(1+Inputs!B19)</f>
        <v>58320</v>
      </c>
      <c r="F4" s="27" t="n">
        <f aca="false">(F3+Inputs!B15)*(1+Inputs!B19)</f>
        <v>134611.2</v>
      </c>
      <c r="G4" s="27" t="n">
        <f aca="false">G3*(1+Inputs!B19)</f>
        <v>583200</v>
      </c>
      <c r="H4" s="28" t="n">
        <f aca="false">SUM(B4:G4)</f>
        <v>4980634.2</v>
      </c>
      <c r="I4" s="29" t="n">
        <f aca="false">H4+Inputs!B36</f>
        <v>5780634.2</v>
      </c>
    </row>
    <row r="5" customFormat="false" ht="15" hidden="false" customHeight="false" outlineLevel="0" collapsed="false">
      <c r="A5" s="26" t="n">
        <v>58</v>
      </c>
      <c r="B5" s="27" t="n">
        <f aca="false">B4*(1+Inputs!B19)+Inputs!B11*(1+Inputs!B12/100)</f>
        <v>3621000.87</v>
      </c>
      <c r="C5" s="27" t="n">
        <f aca="false">C4*(1+Inputs!B19)</f>
        <v>944784</v>
      </c>
      <c r="D5" s="27" t="n">
        <f aca="false">D4*(1+Inputs!B19)</f>
        <v>12597.12</v>
      </c>
      <c r="E5" s="27" t="n">
        <f aca="false">E4*(1+Inputs!B19)</f>
        <v>62985.6</v>
      </c>
      <c r="F5" s="27" t="n">
        <f aca="false">(F4+Inputs!B15)*(1+Inputs!B19)</f>
        <v>154020.096</v>
      </c>
      <c r="G5" s="27" t="n">
        <f aca="false">G4*(1+Inputs!B19)</f>
        <v>629856</v>
      </c>
      <c r="H5" s="28" t="n">
        <f aca="false">SUM(B5:G5)</f>
        <v>5425243.686</v>
      </c>
      <c r="I5" s="29" t="n">
        <f aca="false">H5+Inputs!B36</f>
        <v>6225243.686</v>
      </c>
    </row>
    <row r="6" customFormat="false" ht="15" hidden="false" customHeight="false" outlineLevel="0" collapsed="false">
      <c r="A6" s="26" t="n">
        <v>59</v>
      </c>
      <c r="B6" s="27" t="n">
        <f aca="false">B5*(1+Inputs!B19)+Inputs!B11*(1+Inputs!B12/100)</f>
        <v>3948199.6896</v>
      </c>
      <c r="C6" s="27" t="n">
        <f aca="false">C5*(1+Inputs!B19)</f>
        <v>1020366.72</v>
      </c>
      <c r="D6" s="27" t="n">
        <f aca="false">D5*(1+Inputs!B19)</f>
        <v>13604.8896</v>
      </c>
      <c r="E6" s="27" t="n">
        <f aca="false">E5*(1+Inputs!B19)</f>
        <v>68024.448</v>
      </c>
      <c r="F6" s="27" t="n">
        <f aca="false">(F5+Inputs!B15)*(1+Inputs!B19)</f>
        <v>174981.70368</v>
      </c>
      <c r="G6" s="27" t="n">
        <f aca="false">G5*(1+Inputs!B19)</f>
        <v>680244.48</v>
      </c>
      <c r="H6" s="28" t="n">
        <f aca="false">SUM(B6:G6)</f>
        <v>5905421.93088</v>
      </c>
      <c r="I6" s="29" t="n">
        <f aca="false">H6+Inputs!B36</f>
        <v>6705421.93088</v>
      </c>
    </row>
    <row r="7" customFormat="false" ht="15" hidden="false" customHeight="false" outlineLevel="0" collapsed="false">
      <c r="A7" s="26" t="n">
        <v>60</v>
      </c>
      <c r="B7" s="27" t="n">
        <f aca="false">B6*(1+Inputs!B19)+Inputs!B11*(1+Inputs!B12/100)</f>
        <v>4301574.414768</v>
      </c>
      <c r="C7" s="27" t="n">
        <f aca="false">C6*(1+Inputs!B19)</f>
        <v>1101996.0576</v>
      </c>
      <c r="D7" s="27" t="n">
        <f aca="false">D6*(1+Inputs!B19)</f>
        <v>14693.280768</v>
      </c>
      <c r="E7" s="27" t="n">
        <f aca="false">E6*(1+Inputs!B19)</f>
        <v>73466.40384</v>
      </c>
      <c r="F7" s="27" t="n">
        <f aca="false">(F6+Inputs!B15)*(1+Inputs!B19)</f>
        <v>197620.2399744</v>
      </c>
      <c r="G7" s="27" t="n">
        <f aca="false">G6*(1+Inputs!B19)</f>
        <v>734664.0384</v>
      </c>
      <c r="H7" s="28" t="n">
        <f aca="false">SUM(B7:G7)</f>
        <v>6424014.4353504</v>
      </c>
      <c r="I7" s="29" t="n">
        <f aca="false">H7+Inputs!B36</f>
        <v>7224014.4353504</v>
      </c>
    </row>
    <row r="8" customFormat="false" ht="15" hidden="false" customHeight="false" outlineLevel="0" collapsed="false">
      <c r="A8" s="26" t="n">
        <v>61</v>
      </c>
      <c r="B8" s="27" t="n">
        <f aca="false">B7*(1+Inputs!B19)+Inputs!B11*(1+Inputs!B12/100)</f>
        <v>4683219.11794944</v>
      </c>
      <c r="C8" s="27" t="n">
        <f aca="false">C7*(1+Inputs!B19)</f>
        <v>1190155.742208</v>
      </c>
      <c r="D8" s="27" t="n">
        <f aca="false">D7*(1+Inputs!B19)</f>
        <v>15868.74322944</v>
      </c>
      <c r="E8" s="27" t="n">
        <f aca="false">E7*(1+Inputs!B19)</f>
        <v>79343.7161472</v>
      </c>
      <c r="F8" s="27" t="n">
        <f aca="false">(F7+Inputs!B15)*(1+Inputs!B19)</f>
        <v>222069.859172352</v>
      </c>
      <c r="G8" s="27" t="n">
        <f aca="false">G7*(1+Inputs!B19)</f>
        <v>793437.161472</v>
      </c>
      <c r="H8" s="28" t="n">
        <f aca="false">SUM(B8:G8)</f>
        <v>6984094.34017843</v>
      </c>
      <c r="I8" s="29" t="n">
        <f aca="false">H8+Inputs!B36</f>
        <v>7784094.34017843</v>
      </c>
    </row>
    <row r="9" customFormat="false" ht="15" hidden="false" customHeight="false" outlineLevel="0" collapsed="false">
      <c r="A9" s="26" t="n">
        <v>62</v>
      </c>
      <c r="B9" s="27" t="n">
        <f aca="false">B8*(1+Inputs!B19)+Inputs!B11*(1+Inputs!B12/100)</f>
        <v>5095395.3973854</v>
      </c>
      <c r="C9" s="27" t="n">
        <f aca="false">C8*(1+Inputs!B19)</f>
        <v>1285368.20158464</v>
      </c>
      <c r="D9" s="27" t="n">
        <f aca="false">D8*(1+Inputs!B19)</f>
        <v>17138.2426877952</v>
      </c>
      <c r="E9" s="27" t="n">
        <f aca="false">E8*(1+Inputs!B19)</f>
        <v>85691.213438976</v>
      </c>
      <c r="F9" s="27" t="n">
        <f aca="false">(F8+Inputs!B15)*(1+Inputs!B19)</f>
        <v>248475.44790614</v>
      </c>
      <c r="G9" s="27" t="n">
        <f aca="false">G8*(1+Inputs!B19)</f>
        <v>856912.13438976</v>
      </c>
      <c r="H9" s="28" t="n">
        <f aca="false">SUM(B9:G9)</f>
        <v>7588980.63739271</v>
      </c>
      <c r="I9" s="29" t="n">
        <f aca="false">H9+Inputs!B36</f>
        <v>8388980.63739271</v>
      </c>
    </row>
    <row r="10" customFormat="false" ht="15" hidden="false" customHeight="false" outlineLevel="0" collapsed="false">
      <c r="A10" s="26" t="n">
        <v>63</v>
      </c>
      <c r="B10" s="27" t="n">
        <f aca="false">B9*(1+Inputs!B19)+Inputs!B11*(1+Inputs!B12/100)</f>
        <v>5540545.77917623</v>
      </c>
      <c r="C10" s="27" t="n">
        <f aca="false">C9*(1+Inputs!B19)</f>
        <v>1388197.65771141</v>
      </c>
      <c r="D10" s="27" t="n">
        <f aca="false">D9*(1+Inputs!B19)</f>
        <v>18509.3021028188</v>
      </c>
      <c r="E10" s="27" t="n">
        <f aca="false">E9*(1+Inputs!B19)</f>
        <v>92546.5105140941</v>
      </c>
      <c r="F10" s="27" t="n">
        <f aca="false">(F9+Inputs!B15)*(1+Inputs!B19)</f>
        <v>276993.483738632</v>
      </c>
      <c r="G10" s="27" t="n">
        <f aca="false">G9*(1+Inputs!B19)</f>
        <v>925465.105140941</v>
      </c>
      <c r="H10" s="28" t="n">
        <f aca="false">SUM(B10:G10)</f>
        <v>8242257.83838413</v>
      </c>
      <c r="I10" s="29" t="n">
        <f aca="false">H10+Inputs!B36</f>
        <v>9042257.83838413</v>
      </c>
    </row>
    <row r="11" customFormat="false" ht="15" hidden="false" customHeight="false" outlineLevel="0" collapsed="false">
      <c r="A11" s="26" t="n">
        <v>64</v>
      </c>
      <c r="B11" s="27" t="n">
        <f aca="false">B10*(1+Inputs!B19)+Inputs!B11*(1+Inputs!B12/100)</f>
        <v>6021308.19151033</v>
      </c>
      <c r="C11" s="27" t="n">
        <f aca="false">C10*(1+Inputs!B19)</f>
        <v>1499253.47032833</v>
      </c>
      <c r="D11" s="27" t="n">
        <f aca="false">D10*(1+Inputs!B19)</f>
        <v>19990.0462710443</v>
      </c>
      <c r="E11" s="27" t="n">
        <f aca="false">E10*(1+Inputs!B19)</f>
        <v>99950.2313552217</v>
      </c>
      <c r="F11" s="27" t="n">
        <f aca="false">(F10+Inputs!B15)*(1+Inputs!B19)</f>
        <v>307792.962437722</v>
      </c>
      <c r="G11" s="27" t="n">
        <f aca="false">G10*(1+Inputs!B19)</f>
        <v>999502.313552217</v>
      </c>
      <c r="H11" s="28" t="n">
        <f aca="false">SUM(B11:G11)</f>
        <v>8947797.21545486</v>
      </c>
      <c r="I11" s="29" t="n">
        <f aca="false">H11+Inputs!B36</f>
        <v>9747797.21545486</v>
      </c>
    </row>
    <row r="12" customFormat="false" ht="15" hidden="false" customHeight="false" outlineLevel="0" collapsed="false">
      <c r="A12" s="10" t="n">
        <v>65</v>
      </c>
      <c r="B12" s="14" t="n">
        <f aca="false">'Roth Conversion'!J3</f>
        <v>2828950</v>
      </c>
      <c r="C12" s="14" t="n">
        <f aca="false">MAX(0,C11*(1+Inputs!B19)-'Withdrawal Plan'!K3)</f>
        <v>1619193.74795459</v>
      </c>
      <c r="D12" s="14" t="n">
        <f aca="false">D11*(1+Inputs!B19)</f>
        <v>21589.2499727279</v>
      </c>
      <c r="E12" s="14" t="n">
        <f aca="false">E11*(1+Inputs!B19)</f>
        <v>107946.249863639</v>
      </c>
      <c r="F12" s="14" t="n">
        <f aca="false">MAX(0,F11*(1+Inputs!B19)-'Withdrawal Plan'!M3)</f>
        <v>330196.39943274</v>
      </c>
      <c r="G12" s="14" t="n">
        <f aca="false">MAX(0,G11*(1+Inputs!B19)-'Withdrawal Plan'!L3)</f>
        <v>1079462.49863639</v>
      </c>
      <c r="H12" s="22" t="n">
        <f aca="false">SUM(B12:G12)</f>
        <v>5987338.14586009</v>
      </c>
      <c r="I12" s="23" t="n">
        <f aca="false">H12+Inputs!B36</f>
        <v>6787338.14586009</v>
      </c>
    </row>
    <row r="13" customFormat="false" ht="15" hidden="false" customHeight="false" outlineLevel="0" collapsed="false">
      <c r="A13" s="10" t="n">
        <v>66</v>
      </c>
      <c r="B13" s="11" t="n">
        <f aca="false">'Roth Conversion'!J4</f>
        <v>2657900</v>
      </c>
      <c r="C13" s="11" t="n">
        <f aca="false">MAX(0,C12*(1+Inputs!B19)-'Withdrawal Plan'!K4)</f>
        <v>1748729.24779096</v>
      </c>
      <c r="D13" s="11" t="n">
        <f aca="false">D12*(1+Inputs!B19)</f>
        <v>23316.3899705461</v>
      </c>
      <c r="E13" s="11" t="n">
        <f aca="false">E12*(1+Inputs!B19)</f>
        <v>116581.949852731</v>
      </c>
      <c r="F13" s="11" t="n">
        <f aca="false">MAX(0,F12*(1+Inputs!B19)-'Withdrawal Plan'!M4)</f>
        <v>354281.111387359</v>
      </c>
      <c r="G13" s="11" t="n">
        <f aca="false">MAX(0,G12*(1+Inputs!B19)-'Withdrawal Plan'!L4)</f>
        <v>1165819.49852731</v>
      </c>
      <c r="H13" s="20" t="n">
        <f aca="false">SUM(B13:G13)</f>
        <v>6066628.1975289</v>
      </c>
      <c r="I13" s="21" t="n">
        <f aca="false">H13+Inputs!B36</f>
        <v>6866628.1975289</v>
      </c>
    </row>
    <row r="14" customFormat="false" ht="15" hidden="false" customHeight="false" outlineLevel="0" collapsed="false">
      <c r="A14" s="10" t="n">
        <v>67</v>
      </c>
      <c r="B14" s="14" t="n">
        <f aca="false">'Roth Conversion'!J5</f>
        <v>2527364.4</v>
      </c>
      <c r="C14" s="14" t="n">
        <f aca="false">MAX(0,C13*(1+Inputs!B19)-'Withdrawal Plan'!K5)</f>
        <v>1888627.58761424</v>
      </c>
      <c r="D14" s="14" t="n">
        <f aca="false">D13*(1+Inputs!B19)</f>
        <v>25181.7011681898</v>
      </c>
      <c r="E14" s="14" t="n">
        <f aca="false">E13*(1+Inputs!B19)</f>
        <v>125908.505840949</v>
      </c>
      <c r="F14" s="14" t="n">
        <f aca="false">MAX(0,F13*(1+Inputs!B19)-'Withdrawal Plan'!M5)</f>
        <v>380176.050298348</v>
      </c>
      <c r="G14" s="14" t="n">
        <f aca="false">MAX(0,G13*(1+Inputs!B19)-'Withdrawal Plan'!L5)</f>
        <v>1259085.05840949</v>
      </c>
      <c r="H14" s="22" t="n">
        <f aca="false">SUM(B14:G14)</f>
        <v>6206343.30333121</v>
      </c>
      <c r="I14" s="23" t="n">
        <f aca="false">H14+Inputs!B36</f>
        <v>7006343.30333121</v>
      </c>
    </row>
    <row r="15" customFormat="false" ht="15" hidden="false" customHeight="false" outlineLevel="0" collapsed="false">
      <c r="A15" s="10" t="n">
        <v>68</v>
      </c>
      <c r="B15" s="11" t="n">
        <f aca="false">'Roth Conversion'!J6</f>
        <v>2397841.66</v>
      </c>
      <c r="C15" s="11" t="n">
        <f aca="false">MAX(0,C14*(1+Inputs!B19)-'Withdrawal Plan'!K6)</f>
        <v>2039717.79462337</v>
      </c>
      <c r="D15" s="11" t="n">
        <f aca="false">D14*(1+Inputs!B19)</f>
        <v>27196.237261645</v>
      </c>
      <c r="E15" s="11" t="n">
        <f aca="false">E14*(1+Inputs!B19)</f>
        <v>135981.186308225</v>
      </c>
      <c r="F15" s="11" t="n">
        <f aca="false">MAX(0,F14*(1+Inputs!B19)-'Withdrawal Plan'!M6)</f>
        <v>408020.206822216</v>
      </c>
      <c r="G15" s="11" t="n">
        <f aca="false">MAX(0,G14*(1+Inputs!B19)-'Withdrawal Plan'!L6)</f>
        <v>1359811.86308225</v>
      </c>
      <c r="H15" s="20" t="n">
        <f aca="false">SUM(B15:G15)</f>
        <v>6368568.94809771</v>
      </c>
      <c r="I15" s="21" t="n">
        <f aca="false">H15+Inputs!B36</f>
        <v>7168568.94809771</v>
      </c>
    </row>
    <row r="16" customFormat="false" ht="15" hidden="false" customHeight="false" outlineLevel="0" collapsed="false">
      <c r="A16" s="10" t="n">
        <v>69</v>
      </c>
      <c r="B16" s="14" t="n">
        <f aca="false">'Roth Conversion'!J7</f>
        <v>2269357.1015</v>
      </c>
      <c r="C16" s="14" t="n">
        <f aca="false">MAX(0,C15*(1+Inputs!B19)-'Withdrawal Plan'!K7)</f>
        <v>2202895.21819324</v>
      </c>
      <c r="D16" s="14" t="n">
        <f aca="false">D15*(1+Inputs!B19)</f>
        <v>29371.9362425766</v>
      </c>
      <c r="E16" s="14" t="n">
        <f aca="false">E15*(1+Inputs!B19)</f>
        <v>146859.681212883</v>
      </c>
      <c r="F16" s="14" t="n">
        <f aca="false">MAX(0,F15*(1+Inputs!B19)-'Withdrawal Plan'!M7)</f>
        <v>437963.399492993</v>
      </c>
      <c r="G16" s="14" t="n">
        <f aca="false">MAX(0,G15*(1+Inputs!B19)-'Withdrawal Plan'!L7)</f>
        <v>1468596.81212883</v>
      </c>
      <c r="H16" s="22" t="n">
        <f aca="false">SUM(B16:G16)</f>
        <v>6555044.14877053</v>
      </c>
      <c r="I16" s="23" t="n">
        <f aca="false">H16+Inputs!B36</f>
        <v>7355044.14877053</v>
      </c>
    </row>
    <row r="17" customFormat="false" ht="15" hidden="false" customHeight="false" outlineLevel="0" collapsed="false">
      <c r="A17" s="10" t="n">
        <v>70</v>
      </c>
      <c r="B17" s="11" t="n">
        <f aca="false">'Roth Conversion'!J8</f>
        <v>2141936.6790375</v>
      </c>
      <c r="C17" s="11" t="n">
        <f aca="false">MAX(0,C16*(1+Inputs!B19)-'Withdrawal Plan'!K8)</f>
        <v>2379126.8356487</v>
      </c>
      <c r="D17" s="11" t="n">
        <f aca="false">D16*(1+Inputs!B19)</f>
        <v>31721.6911419827</v>
      </c>
      <c r="E17" s="11" t="n">
        <f aca="false">E16*(1+Inputs!B19)</f>
        <v>158608.455709914</v>
      </c>
      <c r="F17" s="11" t="n">
        <f aca="false">MAX(0,F16*(1+Inputs!B19)-'Withdrawal Plan'!M8)</f>
        <v>470167.126383683</v>
      </c>
      <c r="G17" s="11" t="n">
        <f aca="false">MAX(0,G16*(1+Inputs!B19)-'Withdrawal Plan'!L8)</f>
        <v>1586084.55709914</v>
      </c>
      <c r="H17" s="20" t="n">
        <f aca="false">SUM(B17:G17)</f>
        <v>6767645.34502092</v>
      </c>
      <c r="I17" s="21" t="n">
        <f aca="false">H17+Inputs!B36</f>
        <v>7567645.34502092</v>
      </c>
    </row>
    <row r="18" customFormat="false" ht="15" hidden="false" customHeight="false" outlineLevel="0" collapsed="false">
      <c r="A18" s="10" t="n">
        <v>71</v>
      </c>
      <c r="B18" s="14" t="n">
        <f aca="false">'Roth Conversion'!J9</f>
        <v>2015606.99601344</v>
      </c>
      <c r="C18" s="14" t="n">
        <f aca="false">MAX(0,C17*(1+Inputs!B19)-'Withdrawal Plan'!K9)</f>
        <v>2569456.9825006</v>
      </c>
      <c r="D18" s="14" t="n">
        <f aca="false">D17*(1+Inputs!B19)</f>
        <v>34259.4264333413</v>
      </c>
      <c r="E18" s="14" t="n">
        <f aca="false">E17*(1+Inputs!B19)</f>
        <v>171297.132166707</v>
      </c>
      <c r="F18" s="14" t="n">
        <f aca="false">MAX(0,F17*(1+Inputs!B19)-'Withdrawal Plan'!M9)</f>
        <v>504805.48417219</v>
      </c>
      <c r="G18" s="14" t="n">
        <f aca="false">MAX(0,G17*(1+Inputs!B19)-'Withdrawal Plan'!L9)</f>
        <v>1712971.32166707</v>
      </c>
      <c r="H18" s="22" t="n">
        <f aca="false">SUM(B18:G18)</f>
        <v>7008397.34295334</v>
      </c>
      <c r="I18" s="23" t="n">
        <f aca="false">H18+Inputs!B36</f>
        <v>7808397.34295334</v>
      </c>
    </row>
    <row r="19" customFormat="false" ht="15" hidden="false" customHeight="false" outlineLevel="0" collapsed="false">
      <c r="A19" s="10" t="n">
        <v>72</v>
      </c>
      <c r="B19" s="11" t="n">
        <f aca="false">'Roth Conversion'!J10</f>
        <v>1890395.32091377</v>
      </c>
      <c r="C19" s="11" t="n">
        <f aca="false">MAX(0,C18*(1+Inputs!B19)-'Withdrawal Plan'!K10)</f>
        <v>2775013.54110065</v>
      </c>
      <c r="D19" s="11" t="n">
        <f aca="false">D18*(1+Inputs!B19)</f>
        <v>37000.1805480087</v>
      </c>
      <c r="E19" s="11" t="n">
        <f aca="false">E18*(1+Inputs!B19)</f>
        <v>185000.902740043</v>
      </c>
      <c r="F19" s="11" t="n">
        <f aca="false">MAX(0,F18*(1+Inputs!B19)-'Withdrawal Plan'!M10)</f>
        <v>542066.159967668</v>
      </c>
      <c r="G19" s="11" t="n">
        <f aca="false">MAX(0,G18*(1+Inputs!B19)-'Withdrawal Plan'!L10)</f>
        <v>1850009.02740043</v>
      </c>
      <c r="H19" s="20" t="n">
        <f aca="false">SUM(B19:G19)</f>
        <v>7279485.13267057</v>
      </c>
      <c r="I19" s="21" t="n">
        <f aca="false">H19+Inputs!B36</f>
        <v>8079485.13267057</v>
      </c>
    </row>
    <row r="20" customFormat="false" ht="15" hidden="false" customHeight="false" outlineLevel="0" collapsed="false">
      <c r="A20" s="10" t="n">
        <v>73</v>
      </c>
      <c r="B20" s="17" t="n">
        <f aca="false">'Roth Conversion'!J11</f>
        <v>1766329.60393662</v>
      </c>
      <c r="C20" s="17" t="n">
        <f aca="false">MAX(0,C19*(1+Inputs!B19)-'Withdrawal Plan'!K11)</f>
        <v>2997014.6243887</v>
      </c>
      <c r="D20" s="17" t="n">
        <f aca="false">D19*(1+Inputs!B19)</f>
        <v>39960.1949918494</v>
      </c>
      <c r="E20" s="17" t="n">
        <f aca="false">E19*(1+Inputs!B19)</f>
        <v>199800.974959247</v>
      </c>
      <c r="F20" s="17" t="n">
        <f aca="false">MAX(0,F19*(1+Inputs!B19)-'Withdrawal Plan'!M11)</f>
        <v>582151.50167987</v>
      </c>
      <c r="G20" s="17" t="n">
        <f aca="false">MAX(0,G19*(1+Inputs!B19)-'Withdrawal Plan'!L11)</f>
        <v>1998009.74959247</v>
      </c>
      <c r="H20" s="24" t="n">
        <f aca="false">SUM(B20:G20)</f>
        <v>7583266.64954875</v>
      </c>
      <c r="I20" s="25" t="n">
        <f aca="false">H20+Inputs!B36</f>
        <v>8383266.64954875</v>
      </c>
    </row>
    <row r="21" customFormat="false" ht="15" hidden="false" customHeight="false" outlineLevel="0" collapsed="false">
      <c r="A21" s="10" t="n">
        <v>74</v>
      </c>
      <c r="B21" s="17" t="n">
        <f aca="false">'Roth Conversion'!J12</f>
        <v>1643438.49403503</v>
      </c>
      <c r="C21" s="17" t="n">
        <f aca="false">MAX(0,C20*(1+Inputs!B19)-'Withdrawal Plan'!K12)</f>
        <v>3236775.7943398</v>
      </c>
      <c r="D21" s="17" t="n">
        <f aca="false">D20*(1+Inputs!B19)</f>
        <v>43157.0105911973</v>
      </c>
      <c r="E21" s="17" t="n">
        <f aca="false">E20*(1+Inputs!B19)</f>
        <v>215785.052955986</v>
      </c>
      <c r="F21" s="17" t="n">
        <f aca="false">MAX(0,F20*(1+Inputs!B19)-'Withdrawal Plan'!M12)</f>
        <v>625279.673174787</v>
      </c>
      <c r="G21" s="17" t="n">
        <f aca="false">MAX(0,G20*(1+Inputs!B19)-'Withdrawal Plan'!L12)</f>
        <v>2157850.52955986</v>
      </c>
      <c r="H21" s="24" t="n">
        <f aca="false">SUM(B21:G21)</f>
        <v>7922286.55465667</v>
      </c>
      <c r="I21" s="25" t="n">
        <f aca="false">H21+Inputs!B36</f>
        <v>8722286.55465667</v>
      </c>
    </row>
    <row r="22" customFormat="false" ht="15" hidden="false" customHeight="false" outlineLevel="0" collapsed="false">
      <c r="A22" s="10" t="n">
        <v>75</v>
      </c>
      <c r="B22" s="17" t="n">
        <f aca="false">'Roth Conversion'!J13</f>
        <v>1521751.35638591</v>
      </c>
      <c r="C22" s="17" t="n">
        <f aca="false">MAX(0,C21*(1+Inputs!B19)-'Withdrawal Plan'!K13)</f>
        <v>3495717.85788698</v>
      </c>
      <c r="D22" s="17" t="n">
        <f aca="false">D21*(1+Inputs!B19)</f>
        <v>46609.5714384931</v>
      </c>
      <c r="E22" s="17" t="n">
        <f aca="false">E21*(1+Inputs!B19)</f>
        <v>233047.857192465</v>
      </c>
      <c r="F22" s="17" t="n">
        <f aca="false">MAX(0,F21*(1+Inputs!B19)-'Withdrawal Plan'!M13)</f>
        <v>671685.900957324</v>
      </c>
      <c r="G22" s="17" t="n">
        <f aca="false">MAX(0,G21*(1+Inputs!B19)-'Withdrawal Plan'!L13)</f>
        <v>2330478.57192465</v>
      </c>
      <c r="H22" s="24" t="n">
        <f aca="false">SUM(B22:G22)</f>
        <v>8299291.11578583</v>
      </c>
      <c r="I22" s="25" t="n">
        <f aca="false">H22+Inputs!B36</f>
        <v>9099291.11578583</v>
      </c>
    </row>
    <row r="23" customFormat="false" ht="15" hidden="false" customHeight="false" outlineLevel="0" collapsed="false">
      <c r="A23" s="10" t="n">
        <v>76</v>
      </c>
      <c r="B23" s="17" t="n">
        <f aca="false">'Roth Conversion'!J14</f>
        <v>1401298.29029556</v>
      </c>
      <c r="C23" s="17" t="n">
        <f aca="false">MAX(0,C22*(1+Inputs!B19)-'Withdrawal Plan'!K14)</f>
        <v>3775375.28651794</v>
      </c>
      <c r="D23" s="17" t="n">
        <f aca="false">D22*(1+Inputs!B19)</f>
        <v>50338.3371535725</v>
      </c>
      <c r="E23" s="17" t="n">
        <f aca="false">E22*(1+Inputs!B19)</f>
        <v>251691.685767863</v>
      </c>
      <c r="F23" s="17" t="n">
        <f aca="false">MAX(0,F22*(1+Inputs!B19)-'Withdrawal Plan'!M14)</f>
        <v>721623.819658892</v>
      </c>
      <c r="G23" s="17" t="n">
        <f aca="false">MAX(0,G22*(1+Inputs!B19)-'Withdrawal Plan'!L14)</f>
        <v>2516916.85767863</v>
      </c>
      <c r="H23" s="24" t="n">
        <f aca="false">SUM(B23:G23)</f>
        <v>8717244.27707245</v>
      </c>
      <c r="I23" s="25" t="n">
        <f aca="false">H23+Inputs!B36</f>
        <v>9517244.27707245</v>
      </c>
    </row>
    <row r="24" customFormat="false" ht="15" hidden="false" customHeight="false" outlineLevel="0" collapsed="false">
      <c r="A24" s="10" t="n">
        <v>77</v>
      </c>
      <c r="B24" s="17" t="n">
        <f aca="false">'Roth Conversion'!J15</f>
        <v>1282110.14755295</v>
      </c>
      <c r="C24" s="17" t="n">
        <f aca="false">MAX(0,C23*(1+Inputs!B19)-'Withdrawal Plan'!K15)</f>
        <v>4077405.30943937</v>
      </c>
      <c r="D24" s="17" t="n">
        <f aca="false">D23*(1+Inputs!B19)</f>
        <v>54365.4041258583</v>
      </c>
      <c r="E24" s="17" t="n">
        <f aca="false">E23*(1+Inputs!B19)</f>
        <v>271827.020629292</v>
      </c>
      <c r="F24" s="17" t="n">
        <f aca="false">MAX(0,F23*(1+Inputs!B19)-'Withdrawal Plan'!M15)</f>
        <v>775366.924187834</v>
      </c>
      <c r="G24" s="17" t="n">
        <f aca="false">MAX(0,G23*(1+Inputs!B19)-'Withdrawal Plan'!L15)</f>
        <v>2718270.20629292</v>
      </c>
      <c r="H24" s="24" t="n">
        <f aca="false">SUM(B24:G24)</f>
        <v>9179345.01222822</v>
      </c>
      <c r="I24" s="25" t="n">
        <f aca="false">H24+Inputs!B36</f>
        <v>9979345.01222822</v>
      </c>
    </row>
    <row r="25" customFormat="false" ht="15" hidden="false" customHeight="false" outlineLevel="0" collapsed="false">
      <c r="A25" s="10" t="n">
        <v>78</v>
      </c>
      <c r="B25" s="17" t="n">
        <f aca="false">'Roth Conversion'!J16</f>
        <v>1164218.55124177</v>
      </c>
      <c r="C25" s="17" t="n">
        <f aca="false">MAX(0,C24*(1+Inputs!B19)-'Withdrawal Plan'!K16)</f>
        <v>4403597.73419453</v>
      </c>
      <c r="D25" s="17" t="n">
        <f aca="false">D24*(1+Inputs!B19)</f>
        <v>58714.636455927</v>
      </c>
      <c r="E25" s="17" t="n">
        <f aca="false">E24*(1+Inputs!B19)</f>
        <v>293573.182279635</v>
      </c>
      <c r="F25" s="17" t="n">
        <f aca="false">MAX(0,F24*(1+Inputs!B19)-'Withdrawal Plan'!M16)</f>
        <v>833210.137026903</v>
      </c>
      <c r="G25" s="17" t="n">
        <f aca="false">MAX(0,G24*(1+Inputs!B19)-'Withdrawal Plan'!L16)</f>
        <v>2935731.82279635</v>
      </c>
      <c r="H25" s="24" t="n">
        <f aca="false">SUM(B25:G25)</f>
        <v>9689046.06399511</v>
      </c>
      <c r="I25" s="25" t="n">
        <f aca="false">H25+Inputs!B36</f>
        <v>10489046.0639951</v>
      </c>
    </row>
    <row r="26" customFormat="false" ht="15" hidden="false" customHeight="false" outlineLevel="0" collapsed="false">
      <c r="A26" s="10" t="n">
        <v>79</v>
      </c>
      <c r="B26" s="17" t="n">
        <f aca="false">'Roth Conversion'!J17</f>
        <v>1047655.91502281</v>
      </c>
      <c r="C26" s="17" t="n">
        <f aca="false">MAX(0,C25*(1+Inputs!B19)-'Withdrawal Plan'!K17)</f>
        <v>4755885.55293009</v>
      </c>
      <c r="D26" s="17" t="n">
        <f aca="false">D25*(1+Inputs!B19)</f>
        <v>63411.8073724012</v>
      </c>
      <c r="E26" s="17" t="n">
        <f aca="false">E25*(1+Inputs!B19)</f>
        <v>317059.036862006</v>
      </c>
      <c r="F26" s="17" t="n">
        <f aca="false">MAX(0,F25*(1+Inputs!B19)-'Withdrawal Plan'!M17)</f>
        <v>895471.4998383</v>
      </c>
      <c r="G26" s="17" t="n">
        <f aca="false">MAX(0,G25*(1+Inputs!B19)-'Withdrawal Plan'!L17)</f>
        <v>3170590.36862006</v>
      </c>
      <c r="H26" s="24" t="n">
        <f aca="false">SUM(B26:G26)</f>
        <v>10250074.1806457</v>
      </c>
      <c r="I26" s="25" t="n">
        <f aca="false">H26+Inputs!B36</f>
        <v>11050074.1806457</v>
      </c>
    </row>
    <row r="27" customFormat="false" ht="15" hidden="false" customHeight="false" outlineLevel="0" collapsed="false">
      <c r="A27" s="10" t="n">
        <v>80</v>
      </c>
      <c r="B27" s="17" t="n">
        <f aca="false">'Roth Conversion'!J18</f>
        <v>932455.462898383</v>
      </c>
      <c r="C27" s="17" t="n">
        <f aca="false">MAX(0,C26*(1+Inputs!B19)-'Withdrawal Plan'!K18)</f>
        <v>5136356.39716449</v>
      </c>
      <c r="D27" s="17" t="n">
        <f aca="false">D26*(1+Inputs!B19)</f>
        <v>68484.7519621933</v>
      </c>
      <c r="E27" s="17" t="n">
        <f aca="false">E26*(1+Inputs!B19)</f>
        <v>342423.759810966</v>
      </c>
      <c r="F27" s="17" t="n">
        <f aca="false">MAX(0,F26*(1+Inputs!B19)-'Withdrawal Plan'!M18)</f>
        <v>962493.999267071</v>
      </c>
      <c r="G27" s="17" t="n">
        <f aca="false">MAX(0,G26*(1+Inputs!B19)-'Withdrawal Plan'!L18)</f>
        <v>3424237.59810966</v>
      </c>
      <c r="H27" s="24" t="n">
        <f aca="false">SUM(B27:G27)</f>
        <v>10866451.9692128</v>
      </c>
      <c r="I27" s="25" t="n">
        <f aca="false">H27+Inputs!B36</f>
        <v>11666451.9692128</v>
      </c>
    </row>
    <row r="28" customFormat="false" ht="15" hidden="false" customHeight="false" outlineLevel="0" collapsed="false">
      <c r="A28" s="10" t="n">
        <v>81</v>
      </c>
      <c r="B28" s="17" t="n">
        <f aca="false">'Roth Conversion'!J19</f>
        <v>818651.249470843</v>
      </c>
      <c r="C28" s="17" t="n">
        <f aca="false">MAX(0,C27*(1+Inputs!B19)-'Withdrawal Plan'!K19)</f>
        <v>5547264.90893765</v>
      </c>
      <c r="D28" s="17" t="n">
        <f aca="false">D27*(1+Inputs!B19)</f>
        <v>73963.5321191687</v>
      </c>
      <c r="E28" s="17" t="n">
        <f aca="false">E27*(1+Inputs!B19)</f>
        <v>369817.660595844</v>
      </c>
      <c r="F28" s="17" t="n">
        <f aca="false">MAX(0,F27*(1+Inputs!B19)-'Withdrawal Plan'!M19)</f>
        <v>1034647.53762223</v>
      </c>
      <c r="G28" s="17" t="n">
        <f aca="false">MAX(0,G27*(1+Inputs!B19)-'Withdrawal Plan'!L19)</f>
        <v>3698176.60595844</v>
      </c>
      <c r="H28" s="24" t="n">
        <f aca="false">SUM(B28:G28)</f>
        <v>11542521.4947042</v>
      </c>
      <c r="I28" s="25" t="n">
        <f aca="false">H28+Inputs!B36</f>
        <v>12342521.4947042</v>
      </c>
    </row>
    <row r="29" customFormat="false" ht="15" hidden="false" customHeight="false" outlineLevel="0" collapsed="false">
      <c r="A29" s="10" t="n">
        <v>82</v>
      </c>
      <c r="B29" s="17" t="n">
        <f aca="false">'Roth Conversion'!J20</f>
        <v>706278.180707614</v>
      </c>
      <c r="C29" s="17" t="n">
        <f aca="false">MAX(0,C28*(1+Inputs!B19)-'Withdrawal Plan'!K20)</f>
        <v>5991046.10165267</v>
      </c>
      <c r="D29" s="17" t="n">
        <f aca="false">D28*(1+Inputs!B19)</f>
        <v>79880.6146887023</v>
      </c>
      <c r="E29" s="17" t="n">
        <f aca="false">E28*(1+Inputs!B19)</f>
        <v>399403.073443511</v>
      </c>
      <c r="F29" s="17" t="n">
        <f aca="false">MAX(0,F28*(1+Inputs!B19)-'Withdrawal Plan'!M20)</f>
        <v>1112331.05996649</v>
      </c>
      <c r="G29" s="17" t="n">
        <f aca="false">MAX(0,G28*(1+Inputs!B19)-'Withdrawal Plan'!L20)</f>
        <v>3994030.73443511</v>
      </c>
      <c r="H29" s="24" t="n">
        <f aca="false">SUM(B29:G29)</f>
        <v>12282969.7648941</v>
      </c>
      <c r="I29" s="25" t="n">
        <f aca="false">H29+Inputs!B36</f>
        <v>13082969.7648941</v>
      </c>
    </row>
    <row r="30" customFormat="false" ht="15" hidden="false" customHeight="false" outlineLevel="0" collapsed="false">
      <c r="A30" s="10" t="n">
        <v>83</v>
      </c>
      <c r="B30" s="17" t="n">
        <f aca="false">'Roth Conversion'!J21</f>
        <v>595372.035225304</v>
      </c>
      <c r="C30" s="17" t="n">
        <f aca="false">MAX(0,C29*(1+Inputs!B19)-'Withdrawal Plan'!K21)</f>
        <v>6470329.78978488</v>
      </c>
      <c r="D30" s="17" t="n">
        <f aca="false">D29*(1+Inputs!B19)</f>
        <v>86271.0638637984</v>
      </c>
      <c r="E30" s="17" t="n">
        <f aca="false">E29*(1+Inputs!B19)</f>
        <v>431355.319318992</v>
      </c>
      <c r="F30" s="17" t="n">
        <f aca="false">MAX(0,F29*(1+Inputs!B19)-'Withdrawal Plan'!M21)</f>
        <v>1195974.85006501</v>
      </c>
      <c r="G30" s="17" t="n">
        <f aca="false">MAX(0,G29*(1+Inputs!B19)-'Withdrawal Plan'!L21)</f>
        <v>4313553.19318992</v>
      </c>
      <c r="H30" s="24" t="n">
        <f aca="false">SUM(B30:G30)</f>
        <v>13092856.2514479</v>
      </c>
      <c r="I30" s="25" t="n">
        <f aca="false">H30+Inputs!B36</f>
        <v>13892856.2514479</v>
      </c>
    </row>
    <row r="31" customFormat="false" ht="15" hidden="false" customHeight="false" outlineLevel="0" collapsed="false">
      <c r="A31" s="10" t="n">
        <v>84</v>
      </c>
      <c r="B31" s="17" t="n">
        <f aca="false">'Roth Conversion'!J22</f>
        <v>485969.486105936</v>
      </c>
      <c r="C31" s="17" t="n">
        <f aca="false">MAX(0,C30*(1+Inputs!B19)-'Withdrawal Plan'!K22)</f>
        <v>6987956.17296767</v>
      </c>
      <c r="D31" s="17" t="n">
        <f aca="false">D30*(1+Inputs!B19)</f>
        <v>93172.7489729023</v>
      </c>
      <c r="E31" s="17" t="n">
        <f aca="false">E30*(1+Inputs!B19)</f>
        <v>465863.744864511</v>
      </c>
      <c r="F31" s="17" t="n">
        <f aca="false">MAX(0,F30*(1+Inputs!B19)-'Withdrawal Plan'!M22)</f>
        <v>1286043.00863648</v>
      </c>
      <c r="G31" s="17" t="n">
        <f aca="false">MAX(0,G30*(1+Inputs!B19)-'Withdrawal Plan'!L22)</f>
        <v>4658637.44864512</v>
      </c>
      <c r="H31" s="24" t="n">
        <f aca="false">SUM(B31:G31)</f>
        <v>13977642.6101926</v>
      </c>
      <c r="I31" s="25" t="n">
        <f aca="false">H31+Inputs!B36</f>
        <v>14777642.6101926</v>
      </c>
    </row>
    <row r="32" customFormat="false" ht="15" hidden="false" customHeight="false" outlineLevel="0" collapsed="false">
      <c r="A32" s="10" t="n">
        <v>85</v>
      </c>
      <c r="B32" s="17" t="n">
        <f aca="false">'Roth Conversion'!J23</f>
        <v>378108.123258585</v>
      </c>
      <c r="C32" s="17" t="n">
        <f aca="false">MAX(0,C31*(1+Inputs!B19)-'Withdrawal Plan'!K23)</f>
        <v>7546992.66680509</v>
      </c>
      <c r="D32" s="17" t="n">
        <f aca="false">D31*(1+Inputs!B19)</f>
        <v>100626.568890735</v>
      </c>
      <c r="E32" s="17" t="n">
        <f aca="false">E31*(1+Inputs!B19)</f>
        <v>503132.844453672</v>
      </c>
      <c r="F32" s="17" t="n">
        <f aca="false">MAX(0,F31*(1+Inputs!B19)-'Withdrawal Plan'!M23)</f>
        <v>1383036.12842198</v>
      </c>
      <c r="G32" s="17" t="n">
        <f aca="false">MAX(0,G31*(1+Inputs!B19)-'Withdrawal Plan'!L23)</f>
        <v>5031328.44453672</v>
      </c>
      <c r="H32" s="24" t="n">
        <f aca="false">SUM(B32:G32)</f>
        <v>14943224.7763668</v>
      </c>
      <c r="I32" s="25" t="n">
        <f aca="false">H32+Inputs!B36</f>
        <v>15743224.7763668</v>
      </c>
    </row>
    <row r="34" customFormat="false" ht="15" hidden="false" customHeight="false" outlineLevel="0" collapsed="false">
      <c r="A34" s="30" t="s">
        <v>87</v>
      </c>
      <c r="B34" s="30"/>
      <c r="C34" s="30"/>
      <c r="D34" s="30"/>
      <c r="E34" s="30"/>
      <c r="F34" s="30"/>
      <c r="G34" s="30"/>
      <c r="H34" s="30"/>
      <c r="I34" s="30"/>
    </row>
  </sheetData>
  <mergeCells count="2">
    <mergeCell ref="A1:I1"/>
    <mergeCell ref="A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8"/>
  </cols>
  <sheetData>
    <row r="1" customFormat="false" ht="30" hidden="false" customHeight="true" outlineLevel="0" collapsed="false">
      <c r="A1" s="8" t="s">
        <v>88</v>
      </c>
      <c r="B1" s="8"/>
      <c r="C1" s="8"/>
      <c r="D1" s="8"/>
    </row>
    <row r="2" customFormat="false" ht="24" hidden="false" customHeight="true" outlineLevel="0" collapsed="false">
      <c r="A2" s="31" t="s">
        <v>89</v>
      </c>
      <c r="B2" s="31" t="s">
        <v>90</v>
      </c>
      <c r="C2" s="31" t="s">
        <v>91</v>
      </c>
      <c r="D2" s="31" t="s">
        <v>92</v>
      </c>
    </row>
    <row r="3" customFormat="false" ht="19.5" hidden="false" customHeight="true" outlineLevel="0" collapsed="false">
      <c r="A3" s="32" t="s">
        <v>93</v>
      </c>
      <c r="B3" s="33" t="n">
        <f aca="false">Inputs!B22</f>
        <v>3330</v>
      </c>
      <c r="C3" s="33" t="n">
        <f aca="false">Inputs!B23</f>
        <v>3972</v>
      </c>
      <c r="D3" s="33" t="n">
        <f aca="false">Inputs!B24</f>
        <v>5200</v>
      </c>
    </row>
    <row r="4" customFormat="false" ht="19.5" hidden="false" customHeight="true" outlineLevel="0" collapsed="false">
      <c r="A4" s="32" t="s">
        <v>94</v>
      </c>
      <c r="B4" s="34" t="n">
        <f aca="false">Inputs!B22*12</f>
        <v>39960</v>
      </c>
      <c r="C4" s="34" t="n">
        <f aca="false">Inputs!B23*12</f>
        <v>47664</v>
      </c>
      <c r="D4" s="34" t="n">
        <f aca="false">Inputs!B24*12</f>
        <v>62400</v>
      </c>
    </row>
    <row r="5" customFormat="false" ht="19.5" hidden="false" customHeight="true" outlineLevel="0" collapsed="false">
      <c r="A5" s="32" t="s">
        <v>95</v>
      </c>
      <c r="B5" s="35" t="n">
        <f aca="false">85-65</f>
        <v>20</v>
      </c>
      <c r="C5" s="35" t="n">
        <f aca="false">85-67</f>
        <v>18</v>
      </c>
      <c r="D5" s="35" t="n">
        <f aca="false">85-70</f>
        <v>15</v>
      </c>
    </row>
    <row r="6" customFormat="false" ht="19.5" hidden="false" customHeight="true" outlineLevel="0" collapsed="false">
      <c r="A6" s="32" t="s">
        <v>96</v>
      </c>
      <c r="B6" s="34" t="n">
        <f aca="false">Inputs!B22*12*20</f>
        <v>799200</v>
      </c>
      <c r="C6" s="34" t="n">
        <f aca="false">Inputs!B23*12*18</f>
        <v>857952</v>
      </c>
      <c r="D6" s="34" t="n">
        <f aca="false">Inputs!B24*12*15</f>
        <v>936000</v>
      </c>
    </row>
    <row r="7" customFormat="false" ht="19.5" hidden="false" customHeight="true" outlineLevel="0" collapsed="false">
      <c r="A7" s="32" t="s">
        <v>97</v>
      </c>
      <c r="B7" s="35" t="s">
        <v>98</v>
      </c>
      <c r="C7" s="35" t="s">
        <v>99</v>
      </c>
      <c r="D7" s="35" t="s">
        <v>100</v>
      </c>
    </row>
    <row r="8" customFormat="false" ht="19.5" hidden="false" customHeight="true" outlineLevel="0" collapsed="false">
      <c r="A8" s="32" t="s">
        <v>101</v>
      </c>
      <c r="B8" s="36" t="s">
        <v>102</v>
      </c>
      <c r="C8" s="36" t="s">
        <v>103</v>
      </c>
      <c r="D8" s="36" t="s">
        <v>104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2"/>
  </cols>
  <sheetData>
    <row r="1" customFormat="false" ht="30" hidden="false" customHeight="true" outlineLevel="0" collapsed="false">
      <c r="A1" s="8" t="s">
        <v>105</v>
      </c>
      <c r="B1" s="8"/>
    </row>
    <row r="2" customFormat="false" ht="54" hidden="false" customHeight="true" outlineLevel="0" collapsed="false">
      <c r="A2" s="37" t="s">
        <v>106</v>
      </c>
      <c r="B2" s="38" t="s">
        <v>107</v>
      </c>
    </row>
    <row r="3" customFormat="false" ht="54" hidden="false" customHeight="true" outlineLevel="0" collapsed="false">
      <c r="A3" s="39" t="s">
        <v>108</v>
      </c>
      <c r="B3" s="40" t="s">
        <v>109</v>
      </c>
    </row>
    <row r="4" customFormat="false" ht="54" hidden="false" customHeight="true" outlineLevel="0" collapsed="false">
      <c r="A4" s="41" t="s">
        <v>110</v>
      </c>
      <c r="B4" s="42" t="s">
        <v>111</v>
      </c>
    </row>
    <row r="5" customFormat="false" ht="54" hidden="false" customHeight="true" outlineLevel="0" collapsed="false">
      <c r="A5" s="39" t="s">
        <v>112</v>
      </c>
      <c r="B5" s="40" t="s">
        <v>113</v>
      </c>
    </row>
    <row r="6" customFormat="false" ht="54" hidden="false" customHeight="true" outlineLevel="0" collapsed="false">
      <c r="A6" s="41" t="s">
        <v>114</v>
      </c>
      <c r="B6" s="42" t="s">
        <v>115</v>
      </c>
    </row>
    <row r="7" customFormat="false" ht="54" hidden="false" customHeight="true" outlineLevel="0" collapsed="false">
      <c r="A7" s="39" t="s">
        <v>116</v>
      </c>
      <c r="B7" s="40" t="s">
        <v>117</v>
      </c>
    </row>
    <row r="8" customFormat="false" ht="54" hidden="false" customHeight="true" outlineLevel="0" collapsed="false">
      <c r="A8" s="41" t="s">
        <v>118</v>
      </c>
      <c r="B8" s="42" t="s">
        <v>119</v>
      </c>
    </row>
    <row r="9" customFormat="false" ht="54" hidden="false" customHeight="true" outlineLevel="0" collapsed="false">
      <c r="A9" s="39" t="s">
        <v>120</v>
      </c>
      <c r="B9" s="40" t="s">
        <v>121</v>
      </c>
    </row>
    <row r="10" customFormat="false" ht="54" hidden="false" customHeight="true" outlineLevel="0" collapsed="false">
      <c r="A10" s="41" t="s">
        <v>122</v>
      </c>
      <c r="B10" s="42" t="s">
        <v>123</v>
      </c>
    </row>
    <row r="11" customFormat="false" ht="54" hidden="false" customHeight="true" outlineLevel="0" collapsed="false">
      <c r="A11" s="39" t="s">
        <v>124</v>
      </c>
      <c r="B11" s="40" t="s">
        <v>125</v>
      </c>
    </row>
    <row r="12" customFormat="false" ht="54" hidden="false" customHeight="true" outlineLevel="0" collapsed="false">
      <c r="A12" s="41" t="s">
        <v>126</v>
      </c>
      <c r="B12" s="42" t="s">
        <v>127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2026-04-19T15:37:49Z</dcterms:created>
  <dc:creator>openpyxl</dc:creator>
  <dc:description/>
  <dc:language>en-US</dc:language>
  <cp:lastModifiedBy/>
  <dcterms:modified xsi:type="dcterms:W3CDTF">2026-04-19T15:37:49Z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