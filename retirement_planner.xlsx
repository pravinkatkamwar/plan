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Roth Conversion" sheetId="2" state="visible" r:id="rId4"/>
    <sheet name="Withdrawal Plan" sheetId="3" state="visible" r:id="rId5"/>
    <sheet name="RMD" sheetId="4" state="visible" r:id="rId6"/>
    <sheet name="Tax Projection" sheetId="5" state="visible" r:id="rId7"/>
    <sheet name="Stress Test" sheetId="6" state="visible" r:id="rId8"/>
    <sheet name="Survivor" sheetId="7" state="visible" r:id="rId9"/>
    <sheet name="Portfolio" sheetId="8" state="visible" r:id="rId10"/>
    <sheet name="SS Comparison" sheetId="9" state="visible" r:id="rId11"/>
    <sheet name="Advice" sheetId="10" state="visible" r:id="rId12"/>
    <sheet name="Chart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<sst xmlns="http://schemas.openxmlformats.org/spreadsheetml/2006/main" count="235" uniqueCount="211">
  <si>
    <t xml:space="preserve">RETIREMENT PLANNING MODEL — INPUTS</t>
  </si>
  <si>
    <t xml:space="preserve">Blue = your inputs (change these)   |   Black = formulas   |   Orange rows = RMD years</t>
  </si>
  <si>
    <t xml:space="preserve">YOUR DETAILS</t>
  </si>
  <si>
    <t xml:space="preserve">WIFE DETAILS</t>
  </si>
  <si>
    <t xml:space="preserve">Your Current Age</t>
  </si>
  <si>
    <t xml:space="preserve">Wife Current Age</t>
  </si>
  <si>
    <t xml:space="preserve">Retirement Age</t>
  </si>
  <si>
    <t xml:space="preserve">Wife Retirement Age</t>
  </si>
  <si>
    <t xml:space="preserve">Life Expectancy</t>
  </si>
  <si>
    <t xml:space="preserve">Wife Salary ($)</t>
  </si>
  <si>
    <t xml:space="preserve">State of Residence (abbr)</t>
  </si>
  <si>
    <t xml:space="preserve">NJ</t>
  </si>
  <si>
    <t xml:space="preserve">Wife 401k Balance ($)</t>
  </si>
  <si>
    <t xml:space="preserve">Current Salary ($)</t>
  </si>
  <si>
    <t xml:space="preserve">Wife 401k Contribution ($/yr)</t>
  </si>
  <si>
    <t xml:space="preserve">Trad. 401k Balance ($)</t>
  </si>
  <si>
    <t xml:space="preserve">Wife Match Rate (%)</t>
  </si>
  <si>
    <t xml:space="preserve">Roth 401k Balance ($)</t>
  </si>
  <si>
    <t xml:space="preserve">Wife Trad IRA ($)</t>
  </si>
  <si>
    <t xml:space="preserve">Your 401k Contribution ($/yr)</t>
  </si>
  <si>
    <t xml:space="preserve">Wife Roth IRA ($)</t>
  </si>
  <si>
    <t xml:space="preserve">Company Match Rate (%)</t>
  </si>
  <si>
    <t xml:space="preserve">Roth IRA — Your ($)</t>
  </si>
  <si>
    <t xml:space="preserve">HSA Balance ($)</t>
  </si>
  <si>
    <t xml:space="preserve">HSA 2025 Contribution ($/yr)</t>
  </si>
  <si>
    <t xml:space="preserve">Brokerage Account ($)</t>
  </si>
  <si>
    <t xml:space="preserve">GROWTH &amp; SOCIAL SECURITY</t>
  </si>
  <si>
    <t xml:space="preserve">Investment Growth Rate (%)</t>
  </si>
  <si>
    <t xml:space="preserve">Inflation Rate (%)</t>
  </si>
  <si>
    <t xml:space="preserve">SS COLA Rate (%)</t>
  </si>
  <si>
    <t xml:space="preserve">SS Monthly @ Age 65 ($)</t>
  </si>
  <si>
    <t xml:space="preserve">SS Monthly @ Age 67 ($)</t>
  </si>
  <si>
    <t xml:space="preserve">SS Monthly @ Age 70 ($)</t>
  </si>
  <si>
    <t xml:space="preserve">SS Start Age (65/67/70)</t>
  </si>
  <si>
    <t xml:space="preserve">Wife SS Start Age</t>
  </si>
  <si>
    <t xml:space="preserve">EXPENSES</t>
  </si>
  <si>
    <t xml:space="preserve">Monthly Living Expenses ($)</t>
  </si>
  <si>
    <t xml:space="preserve">Mortgage Monthly ($)</t>
  </si>
  <si>
    <t xml:space="preserve">Property Tax Annual ($)</t>
  </si>
  <si>
    <t xml:space="preserve">Home Insurance Annual ($)</t>
  </si>
  <si>
    <t xml:space="preserve">Medicare Part B / mo ($)</t>
  </si>
  <si>
    <t xml:space="preserve">Medicare Inflation Rate (%)</t>
  </si>
  <si>
    <t xml:space="preserve">Wife Private Ins / mo ($) pre-65</t>
  </si>
  <si>
    <t xml:space="preserve">Home Value ($)</t>
  </si>
  <si>
    <t xml:space="preserve">Annual Gift to Children ($)</t>
  </si>
  <si>
    <t xml:space="preserve">Gift Start Age</t>
  </si>
  <si>
    <t xml:space="preserve">TAX &amp; CONVERSION STRATEGY</t>
  </si>
  <si>
    <t xml:space="preserve">Roth Conv. Target ($/yr)</t>
  </si>
  <si>
    <t xml:space="preserve">Federal Std. Deduction ($)</t>
  </si>
  <si>
    <t xml:space="preserve">SS Taxable Portion (%)</t>
  </si>
  <si>
    <t xml:space="preserve">RMD Start Age</t>
  </si>
  <si>
    <t xml:space="preserve">Long-Term Cap Gains Rate (%)</t>
  </si>
  <si>
    <t xml:space="preserve">MORTGAGE &amp; HOME</t>
  </si>
  <si>
    <t xml:space="preserve">Mortgage Years Remaining (today)</t>
  </si>
  <si>
    <t xml:space="preserve">Mortgage Interest Rate (decimal, e.g. 0.065)</t>
  </si>
  <si>
    <t xml:space="preserve">Mortgage Balance at Retirement ($)  [auto-calc, override if needed]</t>
  </si>
  <si>
    <t xml:space="preserve">Pay Off Mortgage at Retirement (1 = Yes, 0 = No)</t>
  </si>
  <si>
    <t xml:space="preserve">Home Appreciation Rate (%/yr, decimal)  — NJ default 0.045</t>
  </si>
  <si>
    <t xml:space="preserve">Note: Mortgage balance is auto-calculated from monthly payment, years remaining &amp; rate. Common state rates: NJ 4.5%, WA 6.0%, CA 5.5%, TX 3.5%, FL 4.0%</t>
  </si>
  <si>
    <t xml:space="preserve">ROTH CONVERSION PLAN  (Ages 65–85)</t>
  </si>
  <si>
    <t xml:space="preserve">Age</t>
  </si>
  <si>
    <t xml:space="preserve">Trad 401k
Start ($)</t>
  </si>
  <si>
    <t xml:space="preserve">SS Income
($)</t>
  </si>
  <si>
    <t xml:space="preserve">Taxable Pre-
Conv ($)</t>
  </si>
  <si>
    <t xml:space="preserve">Roth Conv
($)</t>
  </si>
  <si>
    <t xml:space="preserve">Total Taxable
($)</t>
  </si>
  <si>
    <t xml:space="preserve">Fed Tax
($)</t>
  </si>
  <si>
    <t xml:space="preserve">Eff Rate</t>
  </si>
  <si>
    <t xml:space="preserve">IRMAA Tier</t>
  </si>
  <si>
    <t xml:space="preserve">Trad 401k
End ($)</t>
  </si>
  <si>
    <t xml:space="preserve">IRMAA 2025 Tier Legend (MFJ, per-person surcharge/yr):</t>
  </si>
  <si>
    <t xml:space="preserve">Base (Tier 0): MAGI ≤ $206,000 — $0 surcharge</t>
  </si>
  <si>
    <t xml:space="preserve">Tier 1: MAGI $206,001–$258,000 — $594/person/yr</t>
  </si>
  <si>
    <t xml:space="preserve">Tier 2: MAGI $258,001–$322,000 — $1,488/person/yr</t>
  </si>
  <si>
    <t xml:space="preserve">Tier 3: MAGI $322,001–$386,000 — $2,382/person/yr</t>
  </si>
  <si>
    <t xml:space="preserve">Tier 4: MAGI $386,001–$750,000 — $3,276/person/yr</t>
  </si>
  <si>
    <t xml:space="preserve">Tier 5: MAGI &gt; $750,000 — $4,170/person/yr</t>
  </si>
  <si>
    <t xml:space="preserve">ANNUAL WITHDRAWAL PLAN  (Ages 65–85)</t>
  </si>
  <si>
    <t xml:space="preserve">Living+Infl
($)</t>
  </si>
  <si>
    <t xml:space="preserve">Mortgage
($)
[ends at term]</t>
  </si>
  <si>
    <t xml:space="preserve">Prop Tax
+Ins ($)</t>
  </si>
  <si>
    <t xml:space="preserve">Wife Ins
($)</t>
  </si>
  <si>
    <t xml:space="preserve">Medicare
($)</t>
  </si>
  <si>
    <t xml:space="preserve">Total
Needs ($)</t>
  </si>
  <si>
    <t xml:space="preserve">Your SS
($)</t>
  </si>
  <si>
    <t xml:space="preserve">Wife SS
($)</t>
  </si>
  <si>
    <t xml:space="preserve">Trad 401k
Draw ($)</t>
  </si>
  <si>
    <t xml:space="preserve">Roth IRA
Draw ($)</t>
  </si>
  <si>
    <t xml:space="preserve">Brokerage
Draw ($)</t>
  </si>
  <si>
    <t xml:space="preserve">HSA
Draw ($)</t>
  </si>
  <si>
    <t xml:space="preserve">State Tax
($)</t>
  </si>
  <si>
    <t xml:space="preserve">Net
Surplus ($)</t>
  </si>
  <si>
    <t xml:space="preserve">REQUIRED MINIMUM DISTRIBUTIONS  (Ages 73–85)</t>
  </si>
  <si>
    <t xml:space="preserve">IRS Uniform Lifetime Table</t>
  </si>
  <si>
    <t xml:space="preserve">RMDs begin at age 73 (SECURE 2.0). RMD = Trad 401k balance ÷ IRS Uniform Lifetime Factor. Roth conversion is done first; any remaining capacity can add extra conversions above RMD. RMD is mandatory income — taxed as ordinary income.</t>
  </si>
  <si>
    <t xml:space="preserve">Trad 401k
Jan 1 ($)</t>
  </si>
  <si>
    <t xml:space="preserve">IRS
Factor</t>
  </si>
  <si>
    <t xml:space="preserve">RMD
Required ($)</t>
  </si>
  <si>
    <t xml:space="preserve">Roth Conv
Done ($)</t>
  </si>
  <si>
    <t xml:space="preserve">Extra Conv
Possible ($)</t>
  </si>
  <si>
    <t xml:space="preserve">Total Trad
Draw ($)</t>
  </si>
  <si>
    <t xml:space="preserve">Fed Tax
on Draw ($)</t>
  </si>
  <si>
    <t xml:space="preserve">Net After
Tax ($)</t>
  </si>
  <si>
    <t xml:space="preserve">TOTALS</t>
  </si>
  <si>
    <t xml:space="preserve">ANNUAL TAX PROJECTION  (Ages 65–85)</t>
  </si>
  <si>
    <t xml:space="preserve">Full simulated tax return for each retirement year. Marginal rate = highest bracket reached. Effective rate = total fed tax ÷ total taxable income. IRMAA thresholds: Base ≤$206k, T1 ≤$258k, T2 ≤$322k, T3 ≤$386k, T4 ≤$750k, T5 &gt;$750k (per person surcharge).</t>
  </si>
  <si>
    <t xml:space="preserve">SS Taxable
($)</t>
  </si>
  <si>
    <t xml:space="preserve">Gross
Taxable ($)</t>
  </si>
  <si>
    <t xml:space="preserve">Std
Ded ($)</t>
  </si>
  <si>
    <t xml:space="preserve">Net
Taxable ($)</t>
  </si>
  <si>
    <t xml:space="preserve">Marginal
Rate</t>
  </si>
  <si>
    <t xml:space="preserve">IRMAA
Tier</t>
  </si>
  <si>
    <t xml:space="preserve">NJ State
Tax ($)</t>
  </si>
  <si>
    <t xml:space="preserve">Total
Tax ($)</t>
  </si>
  <si>
    <t xml:space="preserve">PORTFOLIO STRESS TEST — Growth Rate Sensitivity  (Ages 65–85)</t>
  </si>
  <si>
    <t xml:space="preserve">Shows portfolio trajectory under 4 growth scenarios. Bear = 4%, Conservative = 6%, Base = 8% (your assumption), Bull = 10%. Withdrawals are held constant at base amounts. Portfolio = prior balance × (1+rate) − annual withdrawal from all accounts.</t>
  </si>
  <si>
    <t xml:space="preserve">Annual
Withdrawal ($)</t>
  </si>
  <si>
    <t xml:space="preserve">Bear 4%
Portfolio ($)</t>
  </si>
  <si>
    <t xml:space="preserve">Conservative 6%
Portfolio ($)</t>
  </si>
  <si>
    <t xml:space="preserve">Base 8%
Portfolio ($)</t>
  </si>
  <si>
    <t xml:space="preserve">Bull 10%
Portfolio ($)</t>
  </si>
  <si>
    <t xml:space="preserve">Bear vs
Base ($)</t>
  </si>
  <si>
    <t xml:space="preserve">Bull vs
Base ($)</t>
  </si>
  <si>
    <t xml:space="preserve">Final Portfolio at Age 85:</t>
  </si>
  <si>
    <t xml:space="preserve">Bear 4%</t>
  </si>
  <si>
    <t xml:space="preserve">Conservative 6%</t>
  </si>
  <si>
    <t xml:space="preserve">Base 8%</t>
  </si>
  <si>
    <t xml:space="preserve">Bull 10%</t>
  </si>
  <si>
    <t xml:space="preserve">⚠ Note: Withdrawals held at base-rate amounts for simplicity. Under Bear scenario, actual withdrawals from Trad 401k/Roth may differ. Use as directional stress test, not precise forecast.</t>
  </si>
  <si>
    <t xml:space="preserve">SURVIVOR SCENARIO — If Spouse Passes First</t>
  </si>
  <si>
    <t xml:space="preserve">Models financial impact if spouse predeceases you. Filing status → Single (brackets ~50% of MFJ). SS: you keep the HIGHER benefit (survivor benefit). Spouse SS and insurance cost drop to zero. Expenses reduced by 20% to reflect single-person household. RMD rules unchanged.</t>
  </si>
  <si>
    <t xml:space="preserve">Spouse passes at age (your age):</t>
  </si>
  <si>
    <t xml:space="preserve">← Change this cell</t>
  </si>
  <si>
    <t xml:space="preserve">Expense reduction after spouse passes (%):</t>
  </si>
  <si>
    <t xml:space="preserve">← Default 20%</t>
  </si>
  <si>
    <t xml:space="preserve">Filing
Status</t>
  </si>
  <si>
    <t xml:space="preserve">Total SS
($)</t>
  </si>
  <si>
    <t xml:space="preserve">Living Exp
($)</t>
  </si>
  <si>
    <t xml:space="preserve">Mortgage
($)</t>
  </si>
  <si>
    <t xml:space="preserve">Trad Draw
($)</t>
  </si>
  <si>
    <t xml:space="preserve">Fed Tax
(Single) ($)</t>
  </si>
  <si>
    <t xml:space="preserve">PORTFOLIO BALANCE PROJECTION  (Ages 56–85)</t>
  </si>
  <si>
    <t xml:space="preserve">Trad 401k
($)</t>
  </si>
  <si>
    <t xml:space="preserve">Your Roth
($)</t>
  </si>
  <si>
    <t xml:space="preserve">Wife Roth
($)</t>
  </si>
  <si>
    <t xml:space="preserve">Wife Trad
($)</t>
  </si>
  <si>
    <t xml:space="preserve">HSA
($)</t>
  </si>
  <si>
    <t xml:space="preserve">Brokerage
($)</t>
  </si>
  <si>
    <t xml:space="preserve">Total
Portfolio ($)</t>
  </si>
  <si>
    <t xml:space="preserve">Net Worth
+Home ($)
(home appreciates)</t>
  </si>
  <si>
    <t xml:space="preserve">Blue rows = working years (accumulation)  ·  Orange rows = RMD years (age 73+)  ·  White/cream = retirement years  ·  Net Worth includes home value appreciating at Inputs!B52 rate per year</t>
  </si>
  <si>
    <t xml:space="preserve">SOCIAL SECURITY START AGE COMPARISON</t>
  </si>
  <si>
    <t xml:space="preserve">Metric</t>
  </si>
  <si>
    <t xml:space="preserve">Age 65</t>
  </si>
  <si>
    <t xml:space="preserve">Age 67</t>
  </si>
  <si>
    <t xml:space="preserve">Age 70</t>
  </si>
  <si>
    <t xml:space="preserve">Monthly Benefit ($)</t>
  </si>
  <si>
    <t xml:space="preserve">Annual Benefit ($)</t>
  </si>
  <si>
    <t xml:space="preserve">Years of Benefits (to age 85)</t>
  </si>
  <si>
    <t xml:space="preserve">Total SS to Age 85 ($)</t>
  </si>
  <si>
    <t xml:space="preserve">Approx Break-even vs Age 70</t>
  </si>
  <si>
    <t xml:space="preserve">~Age 77</t>
  </si>
  <si>
    <t xml:space="preserve">~Age 80</t>
  </si>
  <si>
    <t xml:space="preserve">N/A</t>
  </si>
  <si>
    <t xml:space="preserve">Recommended?</t>
  </si>
  <si>
    <t xml:space="preserve">No — lower lifetime</t>
  </si>
  <si>
    <t xml:space="preserve">Possible</t>
  </si>
  <si>
    <t xml:space="preserve">Yes — maximises benefit</t>
  </si>
  <si>
    <t xml:space="preserve">RETIREMENT STRATEGY — KEY ADVICE</t>
  </si>
  <si>
    <t xml:space="preserve">TOPIC</t>
  </si>
  <si>
    <t xml:space="preserve">RECOMMENDATION</t>
  </si>
  <si>
    <t xml:space="preserve">Roth Conversion Window</t>
  </si>
  <si>
    <t xml:space="preserve">Ages 65–72: Convert up to top of 22% bracket (~$201k taxable income) each year before RMDs begin at 73. This lowers your future Traditional IRA balance and reduces mandatory RMD amounts.</t>
  </si>
  <si>
    <t xml:space="preserve">Social Security Timing</t>
  </si>
  <si>
    <t xml:space="preserve">Delay SS to age 70 to maximise benefit ($5,200/mo vs $3,330 at 65). Bridge the gap using brokerage and Roth draws. Break-even vs claiming at 67 is around age 80.</t>
  </si>
  <si>
    <t xml:space="preserve">Withdrawal Sequence</t>
  </si>
  <si>
    <t xml:space="preserve">Order: Traditional 401k (Roth conversions pre-73) → Brokerage (living expenses) → Roth IRA (tax-free, let it grow last) → HSA for Medicare premiums only.</t>
  </si>
  <si>
    <t xml:space="preserve">HSA Strategy</t>
  </si>
  <si>
    <t xml:space="preserve">Use HSA exclusively for YOUR Medicare Part B premiums + IRMAA surcharges (IRS-qualified, tax-free). Wife insurance from brokerage (not HSA-eligible). Estimated depletion ~age 78–80.</t>
  </si>
  <si>
    <t xml:space="preserve">IRMAA Management</t>
  </si>
  <si>
    <t xml:space="preserve">Keep MAGI ≤ $206k (MFJ) to avoid IRMAA surcharges, OR accept Tier 1 ($594/yr) to enable higher Roth conversions. If extra $30k conversion saves $6k in future taxes, the IRMAA cost is worth it.</t>
  </si>
  <si>
    <t xml:space="preserve">NJ vs Washington State</t>
  </si>
  <si>
    <t xml:space="preserve">Moving to WA (0% income tax) saves ~$6,000–$10,000/yr on Roth conversion income taxed at NJ ~6.37%. 10-year tax savings: ~$80–$100K. Factor in cost of living and housing trade-offs.</t>
  </si>
  <si>
    <t xml:space="preserve">RMDs at Age 73</t>
  </si>
  <si>
    <t xml:space="preserve">Traditional 401k RMDs begin at 73. Pre-73 Roth conversions reduce this balance. Target Traditional balance ≤ $800K by age 73 to manage RMD size and avoid bracket creep.</t>
  </si>
  <si>
    <t xml:space="preserve">Portfolio Sustainability</t>
  </si>
  <si>
    <t xml:space="preserve">Retire with ~$3.2M+ total portfolio. At 8% growth and 3–4% withdrawal rate, portfolio sustains to age 90+. Run a 6% growth stress test to confirm resilience.</t>
  </si>
  <si>
    <t xml:space="preserve">NJ Property</t>
  </si>
  <si>
    <t xml:space="preserve">Daughter stays in NJ home. Continue paying mortgage ($2,250/mo) + property tax ($13,500/yr). Home value (~$650K) adds to net worth but is excluded from investable portfolio.</t>
  </si>
  <si>
    <t xml:space="preserve">Wife Insurance (Pre-Medicare)</t>
  </si>
  <si>
    <t xml:space="preserve">Wife needs private health insurance from YOUR retirement until she turns 65 (~$800/mo). Fund from brokerage — NOT HSA (spouse insurance is not an HSA-qualified expense).</t>
  </si>
  <si>
    <t xml:space="preserve">RETIREMENT CHARTS  —  data pulls live from other tabs</t>
  </si>
  <si>
    <t xml:space="preserve">Trad 401k</t>
  </si>
  <si>
    <t xml:space="preserve">Your Roth</t>
  </si>
  <si>
    <t xml:space="preserve">Wife Roth</t>
  </si>
  <si>
    <t xml:space="preserve">Wife Trad</t>
  </si>
  <si>
    <t xml:space="preserve">HSA</t>
  </si>
  <si>
    <t xml:space="preserve">Brokerage</t>
  </si>
  <si>
    <t xml:space="preserve">Net Worth</t>
  </si>
  <si>
    <t xml:space="preserve">Your SS</t>
  </si>
  <si>
    <t xml:space="preserve">Wife SS</t>
  </si>
  <si>
    <t xml:space="preserve">Trad Draw</t>
  </si>
  <si>
    <t xml:space="preserve">Roth Draw</t>
  </si>
  <si>
    <t xml:space="preserve">Brok Draw</t>
  </si>
  <si>
    <t xml:space="preserve">Total Income</t>
  </si>
  <si>
    <t xml:space="preserve">Total Needs</t>
  </si>
  <si>
    <t xml:space="preserve">Fed Tax</t>
  </si>
  <si>
    <t xml:space="preserve">State Tax</t>
  </si>
  <si>
    <t xml:space="preserve">Surplus</t>
  </si>
  <si>
    <t xml:space="preserve">Withdrawal
Rate %</t>
  </si>
  <si>
    <t xml:space="preserve">4% Guide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</si>
</sst>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%;\(0.0%\);\-"/>
    <numFmt numFmtId="167" formatCode="\$#,##0"/>
    <numFmt numFmtId="168" formatCode="0.0%"/>
    <numFmt numFmtId="169" formatCode="0.0"/>
    <numFmt numFmtId="170" formatCode="0"/>
    <numFmt numFmtId="171" formatCode="0%"/>
    <numFmt numFmtId="172" formatCode="\$#,##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8C96A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E8C96A"/>
      <name val="Arial"/>
      <family val="0"/>
      <charset val="1"/>
    </font>
    <font>
      <sz val="10"/>
      <color rgb="FF1A1A2E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E8C96A"/>
      <name val="Cambria"/>
      <family val="0"/>
      <charset val="1"/>
    </font>
    <font>
      <sz val="11"/>
      <color rgb="FF1A1A2E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3"/>
      <color rgb="FFE8C96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F2240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009688"/>
      <name val="Cambria"/>
      <family val="0"/>
      <charset val="1"/>
    </font>
    <font>
      <b val="true"/>
      <sz val="9"/>
      <color rgb="FF2196F3"/>
      <name val="Cambria"/>
      <family val="0"/>
      <charset val="1"/>
    </font>
    <font>
      <b val="true"/>
      <sz val="9"/>
      <color rgb="FFFF9800"/>
      <name val="Cambria"/>
      <family val="0"/>
      <charset val="1"/>
    </font>
    <font>
      <b val="true"/>
      <sz val="9"/>
      <color rgb="FFF44336"/>
      <name val="Cambria"/>
      <family val="0"/>
      <charset val="1"/>
    </font>
    <font>
      <b val="true"/>
      <sz val="9"/>
      <color rgb="FF9C27B0"/>
      <name val="Cambria"/>
      <family val="0"/>
      <charset val="1"/>
    </font>
    <font>
      <b val="true"/>
      <sz val="9"/>
      <color rgb="FF795548"/>
      <name val="Cambria"/>
      <family val="0"/>
      <charset val="1"/>
    </font>
    <font>
      <b val="true"/>
      <sz val="9"/>
      <color rgb="FF0F2240"/>
      <name val="Arial"/>
      <family val="0"/>
      <charset val="1"/>
    </font>
    <font>
      <b val="true"/>
      <sz val="9"/>
      <color rgb="FF2D6A4F"/>
      <name val="Arial"/>
      <family val="0"/>
      <charset val="1"/>
    </font>
    <font>
      <b val="true"/>
      <sz val="10"/>
      <color rgb="FFE8C96A"/>
      <name val="Arial"/>
      <family val="0"/>
      <charset val="1"/>
    </font>
    <font>
      <b val="true"/>
      <sz val="8"/>
      <color rgb="FF1A1A2E"/>
      <name val="Cambria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9"/>
      <color rgb="FF0F2240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9"/>
      <color rgb="FF1A3A6B"/>
      <name val="Cambria"/>
      <family val="0"/>
      <charset val="1"/>
    </font>
    <font>
      <b val="true"/>
      <sz val="9"/>
      <name val="Cambria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1A3A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1A3A6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F2240"/>
        <bgColor rgb="FF1A1A2E"/>
      </patternFill>
    </fill>
    <fill>
      <patternFill patternType="solid">
        <fgColor rgb="FFEFE9DF"/>
        <bgColor rgb="FFFFF0E8"/>
      </patternFill>
    </fill>
    <fill>
      <patternFill patternType="solid">
        <fgColor rgb="FFF8F4ED"/>
        <bgColor rgb="FFFFF0E8"/>
      </patternFill>
    </fill>
    <fill>
      <patternFill patternType="solid">
        <fgColor rgb="FFFFFDF7"/>
        <bgColor rgb="FFFFFFFF"/>
      </patternFill>
    </fill>
    <fill>
      <patternFill patternType="solid">
        <fgColor rgb="FFFFFFFF"/>
        <bgColor rgb="FFFFFDF7"/>
      </patternFill>
    </fill>
    <fill>
      <patternFill patternType="solid">
        <fgColor rgb="FF1A3A6B"/>
        <bgColor rgb="FF333399"/>
      </patternFill>
    </fill>
    <fill>
      <patternFill patternType="solid">
        <fgColor rgb="FFFFF0E8"/>
        <bgColor rgb="FFF8F4ED"/>
      </patternFill>
    </fill>
    <fill>
      <patternFill patternType="solid">
        <fgColor rgb="FFEFF4FF"/>
        <bgColor rgb="FFE8F4FF"/>
      </patternFill>
    </fill>
    <fill>
      <patternFill patternType="solid">
        <fgColor rgb="FFE8C96A"/>
        <bgColor rgb="FFD4C9B8"/>
      </patternFill>
    </fill>
    <fill>
      <patternFill patternType="solid">
        <fgColor rgb="FFE8F4FF"/>
        <bgColor rgb="FFE8F0FF"/>
      </patternFill>
    </fill>
    <fill>
      <patternFill patternType="solid">
        <fgColor rgb="FFEAF0FB"/>
        <bgColor rgb="FFE8F0FF"/>
      </patternFill>
    </fill>
    <fill>
      <patternFill patternType="solid">
        <fgColor rgb="FFE8F0FF"/>
        <bgColor rgb="FFEAF0F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4C9B8"/>
      </left>
      <right/>
      <top style="thin">
        <color rgb="FFD4C9B8"/>
      </top>
      <bottom style="thin">
        <color rgb="FFD4C9B8"/>
      </bottom>
      <diagonal/>
    </border>
    <border diagonalUp="false" diagonalDown="false">
      <left style="thin">
        <color rgb="FFD4C9B8"/>
      </left>
      <right style="thin">
        <color rgb="FFD4C9B8"/>
      </right>
      <top style="thin">
        <color rgb="FFD4C9B8"/>
      </top>
      <bottom style="thin">
        <color rgb="FFD4C9B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6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9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6" fillId="9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9" fillId="1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6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9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9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3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6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8F4ED"/>
      <rgbColor rgb="FFFF00FF"/>
      <rgbColor rgb="FF00FFFF"/>
      <rgbColor rgb="FF800000"/>
      <rgbColor rgb="FF008000"/>
      <rgbColor rgb="FF000080"/>
      <rgbColor rgb="FF795548"/>
      <rgbColor rgb="FF800080"/>
      <rgbColor rgb="FF009688"/>
      <rgbColor rgb="FFCCCCCC"/>
      <rgbColor rgb="FF8064A2"/>
      <rgbColor rgb="FF9999FF"/>
      <rgbColor rgb="FF9C27B0"/>
      <rgbColor rgb="FFFFFDF7"/>
      <rgbColor rgb="FFE8F4FF"/>
      <rgbColor rgb="FF660066"/>
      <rgbColor rgb="FFF79646"/>
      <rgbColor rgb="FF2196F3"/>
      <rgbColor rgb="FFD9D9D9"/>
      <rgbColor rgb="FF000080"/>
      <rgbColor rgb="FFFF00FF"/>
      <rgbColor rgb="FFFFFF00"/>
      <rgbColor rgb="FF00FFFF"/>
      <rgbColor rgb="FF800080"/>
      <rgbColor rgb="FF800000"/>
      <rgbColor rgb="FF2D6A4F"/>
      <rgbColor rgb="FF0000FF"/>
      <rgbColor rgb="FF00CCFF"/>
      <rgbColor rgb="FFE8F0FF"/>
      <rgbColor rgb="FFEAF0FB"/>
      <rgbColor rgb="FFFFF0E8"/>
      <rgbColor rgb="FFD4C9B8"/>
      <rgbColor rgb="FFEFE9DF"/>
      <rgbColor rgb="FFEFF4FF"/>
      <rgbColor rgb="FFE8C96A"/>
      <rgbColor rgb="FF4F81BD"/>
      <rgbColor rgb="FF4BACC6"/>
      <rgbColor rgb="FF9BBB59"/>
      <rgbColor rgb="FFC9A84C"/>
      <rgbColor rgb="FFFF9800"/>
      <rgbColor rgb="FFF44336"/>
      <rgbColor rgb="FF6B7280"/>
      <rgbColor rgb="FFB3B3B3"/>
      <rgbColor rgb="FF1A3A6B"/>
      <rgbColor rgb="FF339966"/>
      <rgbColor rgb="FF0F2240"/>
      <rgbColor rgb="FF333300"/>
      <rgbColor rgb="FFB5231A"/>
      <rgbColor rgb="FFC0504D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Portfolio Balance by Account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Charts!B3</c:f>
              <c:strCache>
                <c:ptCount val="1"/>
                <c:pt idx="0">
                  <c:v>Trad 401k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Charts!$A$4:$A$33</c:f>
              <c:strCache>
                <c:ptCount val="30"/>
                <c:pt idx="0">
                  <c:v>56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60</c:v>
                </c:pt>
                <c:pt idx="5">
                  <c:v>61</c:v>
                </c:pt>
                <c:pt idx="6">
                  <c:v>62</c:v>
                </c:pt>
                <c:pt idx="7">
                  <c:v>63</c:v>
                </c:pt>
                <c:pt idx="8">
                  <c:v>64</c:v>
                </c:pt>
                <c:pt idx="9">
                  <c:v>65</c:v>
                </c:pt>
                <c:pt idx="10">
                  <c:v>66</c:v>
                </c:pt>
                <c:pt idx="11">
                  <c:v>67</c:v>
                </c:pt>
                <c:pt idx="12">
                  <c:v>68</c:v>
                </c:pt>
                <c:pt idx="13">
                  <c:v>69</c:v>
                </c:pt>
                <c:pt idx="14">
                  <c:v>70</c:v>
                </c:pt>
                <c:pt idx="15">
                  <c:v>71</c:v>
                </c:pt>
                <c:pt idx="16">
                  <c:v>72</c:v>
                </c:pt>
                <c:pt idx="17">
                  <c:v>73</c:v>
                </c:pt>
                <c:pt idx="18">
                  <c:v>74</c:v>
                </c:pt>
                <c:pt idx="19">
                  <c:v>75</c:v>
                </c:pt>
                <c:pt idx="20">
                  <c:v>76</c:v>
                </c:pt>
                <c:pt idx="21">
                  <c:v>77</c:v>
                </c:pt>
                <c:pt idx="22">
                  <c:v>78</c:v>
                </c:pt>
                <c:pt idx="23">
                  <c:v>79</c:v>
                </c:pt>
                <c:pt idx="24">
                  <c:v>80</c:v>
                </c:pt>
                <c:pt idx="25">
                  <c:v>81</c:v>
                </c:pt>
                <c:pt idx="26">
                  <c:v>82</c:v>
                </c:pt>
                <c:pt idx="27">
                  <c:v>83</c:v>
                </c:pt>
                <c:pt idx="28">
                  <c:v>84</c:v>
                </c:pt>
                <c:pt idx="29">
                  <c:v>85</c:v>
                </c:pt>
              </c:strCache>
            </c:strRef>
          </c:cat>
          <c:val>
            <c:numRef>
              <c:f>Charts!$B$4:$B$33</c:f>
              <c:numCache>
                <c:formatCode>\$#,##0</c:formatCode>
                <c:ptCount val="30"/>
                <c:pt idx="0">
                  <c:v>3037518.75</c:v>
                </c:pt>
                <c:pt idx="1">
                  <c:v>3318039</c:v>
                </c:pt>
                <c:pt idx="2">
                  <c:v>3621000.87</c:v>
                </c:pt>
                <c:pt idx="3">
                  <c:v>3948199.6896</c:v>
                </c:pt>
                <c:pt idx="4">
                  <c:v>4301574.414768</c:v>
                </c:pt>
                <c:pt idx="5">
                  <c:v>4683219.11794944</c:v>
                </c:pt>
                <c:pt idx="6">
                  <c:v>5095395.3973854</c:v>
                </c:pt>
                <c:pt idx="7">
                  <c:v>5540545.77917623</c:v>
                </c:pt>
                <c:pt idx="8">
                  <c:v>6021308.19151033</c:v>
                </c:pt>
                <c:pt idx="9">
                  <c:v>2828950</c:v>
                </c:pt>
                <c:pt idx="10">
                  <c:v>2657900</c:v>
                </c:pt>
                <c:pt idx="11">
                  <c:v>2527364.4</c:v>
                </c:pt>
                <c:pt idx="12">
                  <c:v>2397841.66</c:v>
                </c:pt>
                <c:pt idx="13">
                  <c:v>2269357.1015</c:v>
                </c:pt>
                <c:pt idx="14">
                  <c:v>2141936.6790375</c:v>
                </c:pt>
                <c:pt idx="15">
                  <c:v>2015606.99601344</c:v>
                </c:pt>
                <c:pt idx="16">
                  <c:v>1890395.32091377</c:v>
                </c:pt>
                <c:pt idx="17">
                  <c:v>1766329.60393662</c:v>
                </c:pt>
                <c:pt idx="18">
                  <c:v>1643438.49403503</c:v>
                </c:pt>
                <c:pt idx="19">
                  <c:v>1521751.35638591</c:v>
                </c:pt>
                <c:pt idx="20">
                  <c:v>1401298.29029556</c:v>
                </c:pt>
                <c:pt idx="21">
                  <c:v>1282110.14755295</c:v>
                </c:pt>
                <c:pt idx="22">
                  <c:v>1164218.55124177</c:v>
                </c:pt>
                <c:pt idx="23">
                  <c:v>1047655.91502281</c:v>
                </c:pt>
                <c:pt idx="24">
                  <c:v>932455.462898383</c:v>
                </c:pt>
                <c:pt idx="25">
                  <c:v>818651.249470843</c:v>
                </c:pt>
                <c:pt idx="26">
                  <c:v>706278.180707614</c:v>
                </c:pt>
                <c:pt idx="27">
                  <c:v>595372.035225304</c:v>
                </c:pt>
                <c:pt idx="28">
                  <c:v>485969.486105936</c:v>
                </c:pt>
                <c:pt idx="29">
                  <c:v>378108.123258585</c:v>
                </c:pt>
              </c:numCache>
            </c:numRef>
          </c:val>
        </c:ser>
        <c:ser>
          <c:idx val="1"/>
          <c:order val="1"/>
          <c:tx>
            <c:strRef>
              <c:f>Charts!C3</c:f>
              <c:strCache>
                <c:ptCount val="1"/>
                <c:pt idx="0">
                  <c:v>Your Roth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Charts!$A$4:$A$33</c:f>
              <c:strCache>
                <c:ptCount val="30"/>
                <c:pt idx="0">
                  <c:v>56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60</c:v>
                </c:pt>
                <c:pt idx="5">
                  <c:v>61</c:v>
                </c:pt>
                <c:pt idx="6">
                  <c:v>62</c:v>
                </c:pt>
                <c:pt idx="7">
                  <c:v>63</c:v>
                </c:pt>
                <c:pt idx="8">
                  <c:v>64</c:v>
                </c:pt>
                <c:pt idx="9">
                  <c:v>65</c:v>
                </c:pt>
                <c:pt idx="10">
                  <c:v>66</c:v>
                </c:pt>
                <c:pt idx="11">
                  <c:v>67</c:v>
                </c:pt>
                <c:pt idx="12">
                  <c:v>68</c:v>
                </c:pt>
                <c:pt idx="13">
                  <c:v>69</c:v>
                </c:pt>
                <c:pt idx="14">
                  <c:v>70</c:v>
                </c:pt>
                <c:pt idx="15">
                  <c:v>71</c:v>
                </c:pt>
                <c:pt idx="16">
                  <c:v>72</c:v>
                </c:pt>
                <c:pt idx="17">
                  <c:v>73</c:v>
                </c:pt>
                <c:pt idx="18">
                  <c:v>74</c:v>
                </c:pt>
                <c:pt idx="19">
                  <c:v>75</c:v>
                </c:pt>
                <c:pt idx="20">
                  <c:v>76</c:v>
                </c:pt>
                <c:pt idx="21">
                  <c:v>77</c:v>
                </c:pt>
                <c:pt idx="22">
                  <c:v>78</c:v>
                </c:pt>
                <c:pt idx="23">
                  <c:v>79</c:v>
                </c:pt>
                <c:pt idx="24">
                  <c:v>80</c:v>
                </c:pt>
                <c:pt idx="25">
                  <c:v>81</c:v>
                </c:pt>
                <c:pt idx="26">
                  <c:v>82</c:v>
                </c:pt>
                <c:pt idx="27">
                  <c:v>83</c:v>
                </c:pt>
                <c:pt idx="28">
                  <c:v>84</c:v>
                </c:pt>
                <c:pt idx="29">
                  <c:v>85</c:v>
                </c:pt>
              </c:strCache>
            </c:strRef>
          </c:cat>
          <c:val>
            <c:numRef>
              <c:f>Charts!$C$4:$C$33</c:f>
              <c:numCache>
                <c:formatCode>\$#,##0</c:formatCode>
                <c:ptCount val="30"/>
                <c:pt idx="0">
                  <c:v>810000</c:v>
                </c:pt>
                <c:pt idx="1">
                  <c:v>874800</c:v>
                </c:pt>
                <c:pt idx="2">
                  <c:v>944784</c:v>
                </c:pt>
                <c:pt idx="3">
                  <c:v>1020366.72</c:v>
                </c:pt>
                <c:pt idx="4">
                  <c:v>1101996.0576</c:v>
                </c:pt>
                <c:pt idx="5">
                  <c:v>1190155.742208</c:v>
                </c:pt>
                <c:pt idx="6">
                  <c:v>1285368.20158464</c:v>
                </c:pt>
                <c:pt idx="7">
                  <c:v>1388197.65771141</c:v>
                </c:pt>
                <c:pt idx="8">
                  <c:v>1499253.47032833</c:v>
                </c:pt>
                <c:pt idx="9">
                  <c:v>1619193.74795459</c:v>
                </c:pt>
                <c:pt idx="10">
                  <c:v>1748729.24779096</c:v>
                </c:pt>
                <c:pt idx="11">
                  <c:v>1888627.58761424</c:v>
                </c:pt>
                <c:pt idx="12">
                  <c:v>2039717.79462337</c:v>
                </c:pt>
                <c:pt idx="13">
                  <c:v>2202895.21819324</c:v>
                </c:pt>
                <c:pt idx="14">
                  <c:v>2379126.8356487</c:v>
                </c:pt>
                <c:pt idx="15">
                  <c:v>2569456.9825006</c:v>
                </c:pt>
                <c:pt idx="16">
                  <c:v>2775013.54110065</c:v>
                </c:pt>
                <c:pt idx="17">
                  <c:v>2997014.6243887</c:v>
                </c:pt>
                <c:pt idx="18">
                  <c:v>3236775.7943398</c:v>
                </c:pt>
                <c:pt idx="19">
                  <c:v>3495717.85788698</c:v>
                </c:pt>
                <c:pt idx="20">
                  <c:v>3775375.28651794</c:v>
                </c:pt>
                <c:pt idx="21">
                  <c:v>4077405.30943937</c:v>
                </c:pt>
                <c:pt idx="22">
                  <c:v>4403597.73419453</c:v>
                </c:pt>
                <c:pt idx="23">
                  <c:v>4755885.55293009</c:v>
                </c:pt>
                <c:pt idx="24">
                  <c:v>5136356.39716449</c:v>
                </c:pt>
                <c:pt idx="25">
                  <c:v>5547264.90893765</c:v>
                </c:pt>
                <c:pt idx="26">
                  <c:v>5991046.10165267</c:v>
                </c:pt>
                <c:pt idx="27">
                  <c:v>6470329.78978488</c:v>
                </c:pt>
                <c:pt idx="28">
                  <c:v>6987956.17296767</c:v>
                </c:pt>
                <c:pt idx="29">
                  <c:v>7546992.66680509</c:v>
                </c:pt>
              </c:numCache>
            </c:numRef>
          </c:val>
        </c:ser>
        <c:ser>
          <c:idx val="2"/>
          <c:order val="2"/>
          <c:tx>
            <c:strRef>
              <c:f>Charts!D3</c:f>
              <c:strCache>
                <c:ptCount val="1"/>
                <c:pt idx="0">
                  <c:v>Wife Roth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Charts!$A$4:$A$33</c:f>
              <c:strCache>
                <c:ptCount val="30"/>
                <c:pt idx="0">
                  <c:v>56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60</c:v>
                </c:pt>
                <c:pt idx="5">
                  <c:v>61</c:v>
                </c:pt>
                <c:pt idx="6">
                  <c:v>62</c:v>
                </c:pt>
                <c:pt idx="7">
                  <c:v>63</c:v>
                </c:pt>
                <c:pt idx="8">
                  <c:v>64</c:v>
                </c:pt>
                <c:pt idx="9">
                  <c:v>65</c:v>
                </c:pt>
                <c:pt idx="10">
                  <c:v>66</c:v>
                </c:pt>
                <c:pt idx="11">
                  <c:v>67</c:v>
                </c:pt>
                <c:pt idx="12">
                  <c:v>68</c:v>
                </c:pt>
                <c:pt idx="13">
                  <c:v>69</c:v>
                </c:pt>
                <c:pt idx="14">
                  <c:v>70</c:v>
                </c:pt>
                <c:pt idx="15">
                  <c:v>71</c:v>
                </c:pt>
                <c:pt idx="16">
                  <c:v>72</c:v>
                </c:pt>
                <c:pt idx="17">
                  <c:v>73</c:v>
                </c:pt>
                <c:pt idx="18">
                  <c:v>74</c:v>
                </c:pt>
                <c:pt idx="19">
                  <c:v>75</c:v>
                </c:pt>
                <c:pt idx="20">
                  <c:v>76</c:v>
                </c:pt>
                <c:pt idx="21">
                  <c:v>77</c:v>
                </c:pt>
                <c:pt idx="22">
                  <c:v>78</c:v>
                </c:pt>
                <c:pt idx="23">
                  <c:v>79</c:v>
                </c:pt>
                <c:pt idx="24">
                  <c:v>80</c:v>
                </c:pt>
                <c:pt idx="25">
                  <c:v>81</c:v>
                </c:pt>
                <c:pt idx="26">
                  <c:v>82</c:v>
                </c:pt>
                <c:pt idx="27">
                  <c:v>83</c:v>
                </c:pt>
                <c:pt idx="28">
                  <c:v>84</c:v>
                </c:pt>
                <c:pt idx="29">
                  <c:v>85</c:v>
                </c:pt>
              </c:strCache>
            </c:strRef>
          </c:cat>
          <c:val>
            <c:numRef>
              <c:f>Charts!$D$4:$D$33</c:f>
              <c:numCache>
                <c:formatCode>\$#,##0</c:formatCode>
                <c:ptCount val="30"/>
                <c:pt idx="0">
                  <c:v>10800</c:v>
                </c:pt>
                <c:pt idx="1">
                  <c:v>11664</c:v>
                </c:pt>
                <c:pt idx="2">
                  <c:v>12597.12</c:v>
                </c:pt>
                <c:pt idx="3">
                  <c:v>13604.8896</c:v>
                </c:pt>
                <c:pt idx="4">
                  <c:v>14693.280768</c:v>
                </c:pt>
                <c:pt idx="5">
                  <c:v>15868.74322944</c:v>
                </c:pt>
                <c:pt idx="6">
                  <c:v>17138.2426877952</c:v>
                </c:pt>
                <c:pt idx="7">
                  <c:v>18509.3021028188</c:v>
                </c:pt>
                <c:pt idx="8">
                  <c:v>19990.0462710443</c:v>
                </c:pt>
                <c:pt idx="9">
                  <c:v>21589.2499727279</c:v>
                </c:pt>
                <c:pt idx="10">
                  <c:v>23316.3899705461</c:v>
                </c:pt>
                <c:pt idx="11">
                  <c:v>25181.7011681898</c:v>
                </c:pt>
                <c:pt idx="12">
                  <c:v>27196.237261645</c:v>
                </c:pt>
                <c:pt idx="13">
                  <c:v>29371.9362425766</c:v>
                </c:pt>
                <c:pt idx="14">
                  <c:v>31721.6911419827</c:v>
                </c:pt>
                <c:pt idx="15">
                  <c:v>34259.4264333413</c:v>
                </c:pt>
                <c:pt idx="16">
                  <c:v>37000.1805480087</c:v>
                </c:pt>
                <c:pt idx="17">
                  <c:v>39960.1949918494</c:v>
                </c:pt>
                <c:pt idx="18">
                  <c:v>43157.0105911973</c:v>
                </c:pt>
                <c:pt idx="19">
                  <c:v>46609.5714384931</c:v>
                </c:pt>
                <c:pt idx="20">
                  <c:v>50338.3371535725</c:v>
                </c:pt>
                <c:pt idx="21">
                  <c:v>54365.4041258583</c:v>
                </c:pt>
                <c:pt idx="22">
                  <c:v>58714.636455927</c:v>
                </c:pt>
                <c:pt idx="23">
                  <c:v>63411.8073724012</c:v>
                </c:pt>
                <c:pt idx="24">
                  <c:v>68484.7519621933</c:v>
                </c:pt>
                <c:pt idx="25">
                  <c:v>73963.5321191687</c:v>
                </c:pt>
                <c:pt idx="26">
                  <c:v>79880.6146887023</c:v>
                </c:pt>
                <c:pt idx="27">
                  <c:v>86271.0638637984</c:v>
                </c:pt>
                <c:pt idx="28">
                  <c:v>93172.7489729023</c:v>
                </c:pt>
                <c:pt idx="29">
                  <c:v>100626.568890735</c:v>
                </c:pt>
              </c:numCache>
            </c:numRef>
          </c:val>
        </c:ser>
        <c:ser>
          <c:idx val="3"/>
          <c:order val="3"/>
          <c:tx>
            <c:strRef>
              <c:f>Charts!E3</c:f>
              <c:strCache>
                <c:ptCount val="1"/>
                <c:pt idx="0">
                  <c:v>Wife Trad</c:v>
                </c:pt>
              </c:strCache>
            </c:strRef>
          </c:tx>
          <c:spPr>
            <a:solidFill>
              <a:srgbClr val="8064A2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Charts!$A$4:$A$33</c:f>
              <c:strCache>
                <c:ptCount val="30"/>
                <c:pt idx="0">
                  <c:v>56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60</c:v>
                </c:pt>
                <c:pt idx="5">
                  <c:v>61</c:v>
                </c:pt>
                <c:pt idx="6">
                  <c:v>62</c:v>
                </c:pt>
                <c:pt idx="7">
                  <c:v>63</c:v>
                </c:pt>
                <c:pt idx="8">
                  <c:v>64</c:v>
                </c:pt>
                <c:pt idx="9">
                  <c:v>65</c:v>
                </c:pt>
                <c:pt idx="10">
                  <c:v>66</c:v>
                </c:pt>
                <c:pt idx="11">
                  <c:v>67</c:v>
                </c:pt>
                <c:pt idx="12">
                  <c:v>68</c:v>
                </c:pt>
                <c:pt idx="13">
                  <c:v>69</c:v>
                </c:pt>
                <c:pt idx="14">
                  <c:v>70</c:v>
                </c:pt>
                <c:pt idx="15">
                  <c:v>71</c:v>
                </c:pt>
                <c:pt idx="16">
                  <c:v>72</c:v>
                </c:pt>
                <c:pt idx="17">
                  <c:v>73</c:v>
                </c:pt>
                <c:pt idx="18">
                  <c:v>74</c:v>
                </c:pt>
                <c:pt idx="19">
                  <c:v>75</c:v>
                </c:pt>
                <c:pt idx="20">
                  <c:v>76</c:v>
                </c:pt>
                <c:pt idx="21">
                  <c:v>77</c:v>
                </c:pt>
                <c:pt idx="22">
                  <c:v>78</c:v>
                </c:pt>
                <c:pt idx="23">
                  <c:v>79</c:v>
                </c:pt>
                <c:pt idx="24">
                  <c:v>80</c:v>
                </c:pt>
                <c:pt idx="25">
                  <c:v>81</c:v>
                </c:pt>
                <c:pt idx="26">
                  <c:v>82</c:v>
                </c:pt>
                <c:pt idx="27">
                  <c:v>83</c:v>
                </c:pt>
                <c:pt idx="28">
                  <c:v>84</c:v>
                </c:pt>
                <c:pt idx="29">
                  <c:v>85</c:v>
                </c:pt>
              </c:strCache>
            </c:strRef>
          </c:cat>
          <c:val>
            <c:numRef>
              <c:f>Charts!$E$4:$E$33</c:f>
              <c:numCache>
                <c:formatCode>\$#,##0</c:formatCode>
                <c:ptCount val="30"/>
                <c:pt idx="0">
                  <c:v>54000</c:v>
                </c:pt>
                <c:pt idx="1">
                  <c:v>58320</c:v>
                </c:pt>
                <c:pt idx="2">
                  <c:v>62985.6</c:v>
                </c:pt>
                <c:pt idx="3">
                  <c:v>68024.448</c:v>
                </c:pt>
                <c:pt idx="4">
                  <c:v>73466.40384</c:v>
                </c:pt>
                <c:pt idx="5">
                  <c:v>79343.7161472</c:v>
                </c:pt>
                <c:pt idx="6">
                  <c:v>85691.213438976</c:v>
                </c:pt>
                <c:pt idx="7">
                  <c:v>92546.5105140941</c:v>
                </c:pt>
                <c:pt idx="8">
                  <c:v>99950.2313552217</c:v>
                </c:pt>
                <c:pt idx="9">
                  <c:v>107946.249863639</c:v>
                </c:pt>
                <c:pt idx="10">
                  <c:v>116581.949852731</c:v>
                </c:pt>
                <c:pt idx="11">
                  <c:v>125908.505840949</c:v>
                </c:pt>
                <c:pt idx="12">
                  <c:v>135981.186308225</c:v>
                </c:pt>
                <c:pt idx="13">
                  <c:v>146859.681212883</c:v>
                </c:pt>
                <c:pt idx="14">
                  <c:v>158608.455709914</c:v>
                </c:pt>
                <c:pt idx="15">
                  <c:v>171297.132166707</c:v>
                </c:pt>
                <c:pt idx="16">
                  <c:v>185000.902740043</c:v>
                </c:pt>
                <c:pt idx="17">
                  <c:v>199800.974959247</c:v>
                </c:pt>
                <c:pt idx="18">
                  <c:v>215785.052955986</c:v>
                </c:pt>
                <c:pt idx="19">
                  <c:v>233047.857192465</c:v>
                </c:pt>
                <c:pt idx="20">
                  <c:v>251691.685767863</c:v>
                </c:pt>
                <c:pt idx="21">
                  <c:v>271827.020629292</c:v>
                </c:pt>
                <c:pt idx="22">
                  <c:v>293573.182279635</c:v>
                </c:pt>
                <c:pt idx="23">
                  <c:v>317059.036862006</c:v>
                </c:pt>
                <c:pt idx="24">
                  <c:v>342423.759810966</c:v>
                </c:pt>
                <c:pt idx="25">
                  <c:v>369817.660595844</c:v>
                </c:pt>
                <c:pt idx="26">
                  <c:v>399403.073443511</c:v>
                </c:pt>
                <c:pt idx="27">
                  <c:v>431355.319318992</c:v>
                </c:pt>
                <c:pt idx="28">
                  <c:v>465863.744864511</c:v>
                </c:pt>
                <c:pt idx="29">
                  <c:v>503132.844453672</c:v>
                </c:pt>
              </c:numCache>
            </c:numRef>
          </c:val>
        </c:ser>
        <c:ser>
          <c:idx val="4"/>
          <c:order val="4"/>
          <c:tx>
            <c:strRef>
              <c:f>Charts!F3</c:f>
              <c:strCache>
                <c:ptCount val="1"/>
                <c:pt idx="0">
                  <c:v>HSA</c:v>
                </c:pt>
              </c:strCache>
            </c:strRef>
          </c:tx>
          <c:spPr>
            <a:solidFill>
              <a:srgbClr val="4BACC6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Charts!$A$4:$A$33</c:f>
              <c:strCache>
                <c:ptCount val="30"/>
                <c:pt idx="0">
                  <c:v>56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60</c:v>
                </c:pt>
                <c:pt idx="5">
                  <c:v>61</c:v>
                </c:pt>
                <c:pt idx="6">
                  <c:v>62</c:v>
                </c:pt>
                <c:pt idx="7">
                  <c:v>63</c:v>
                </c:pt>
                <c:pt idx="8">
                  <c:v>64</c:v>
                </c:pt>
                <c:pt idx="9">
                  <c:v>65</c:v>
                </c:pt>
                <c:pt idx="10">
                  <c:v>66</c:v>
                </c:pt>
                <c:pt idx="11">
                  <c:v>67</c:v>
                </c:pt>
                <c:pt idx="12">
                  <c:v>68</c:v>
                </c:pt>
                <c:pt idx="13">
                  <c:v>69</c:v>
                </c:pt>
                <c:pt idx="14">
                  <c:v>70</c:v>
                </c:pt>
                <c:pt idx="15">
                  <c:v>71</c:v>
                </c:pt>
                <c:pt idx="16">
                  <c:v>72</c:v>
                </c:pt>
                <c:pt idx="17">
                  <c:v>73</c:v>
                </c:pt>
                <c:pt idx="18">
                  <c:v>74</c:v>
                </c:pt>
                <c:pt idx="19">
                  <c:v>75</c:v>
                </c:pt>
                <c:pt idx="20">
                  <c:v>76</c:v>
                </c:pt>
                <c:pt idx="21">
                  <c:v>77</c:v>
                </c:pt>
                <c:pt idx="22">
                  <c:v>78</c:v>
                </c:pt>
                <c:pt idx="23">
                  <c:v>79</c:v>
                </c:pt>
                <c:pt idx="24">
                  <c:v>80</c:v>
                </c:pt>
                <c:pt idx="25">
                  <c:v>81</c:v>
                </c:pt>
                <c:pt idx="26">
                  <c:v>82</c:v>
                </c:pt>
                <c:pt idx="27">
                  <c:v>83</c:v>
                </c:pt>
                <c:pt idx="28">
                  <c:v>84</c:v>
                </c:pt>
                <c:pt idx="29">
                  <c:v>85</c:v>
                </c:pt>
              </c:strCache>
            </c:strRef>
          </c:cat>
          <c:val>
            <c:numRef>
              <c:f>Charts!$F$4:$F$33</c:f>
              <c:numCache>
                <c:formatCode>\$#,##0</c:formatCode>
                <c:ptCount val="30"/>
                <c:pt idx="0">
                  <c:v>116640</c:v>
                </c:pt>
                <c:pt idx="1">
                  <c:v>134611.2</c:v>
                </c:pt>
                <c:pt idx="2">
                  <c:v>154020.096</c:v>
                </c:pt>
                <c:pt idx="3">
                  <c:v>174981.70368</c:v>
                </c:pt>
                <c:pt idx="4">
                  <c:v>197620.2399744</c:v>
                </c:pt>
                <c:pt idx="5">
                  <c:v>222069.859172352</c:v>
                </c:pt>
                <c:pt idx="6">
                  <c:v>248475.44790614</c:v>
                </c:pt>
                <c:pt idx="7">
                  <c:v>276993.483738632</c:v>
                </c:pt>
                <c:pt idx="8">
                  <c:v>307792.962437722</c:v>
                </c:pt>
                <c:pt idx="9">
                  <c:v>330196.39943274</c:v>
                </c:pt>
                <c:pt idx="10">
                  <c:v>354281.111387359</c:v>
                </c:pt>
                <c:pt idx="11">
                  <c:v>380176.050298348</c:v>
                </c:pt>
                <c:pt idx="12">
                  <c:v>408020.206822216</c:v>
                </c:pt>
                <c:pt idx="13">
                  <c:v>437963.399492993</c:v>
                </c:pt>
                <c:pt idx="14">
                  <c:v>470167.126383683</c:v>
                </c:pt>
                <c:pt idx="15">
                  <c:v>504805.48417219</c:v>
                </c:pt>
                <c:pt idx="16">
                  <c:v>542066.159967668</c:v>
                </c:pt>
                <c:pt idx="17">
                  <c:v>582151.50167987</c:v>
                </c:pt>
                <c:pt idx="18">
                  <c:v>625279.673174787</c:v>
                </c:pt>
                <c:pt idx="19">
                  <c:v>671685.900957324</c:v>
                </c:pt>
                <c:pt idx="20">
                  <c:v>721623.819658892</c:v>
                </c:pt>
                <c:pt idx="21">
                  <c:v>775366.924187834</c:v>
                </c:pt>
                <c:pt idx="22">
                  <c:v>833210.137026903</c:v>
                </c:pt>
                <c:pt idx="23">
                  <c:v>895471.4998383</c:v>
                </c:pt>
                <c:pt idx="24">
                  <c:v>962493.999267071</c:v>
                </c:pt>
                <c:pt idx="25">
                  <c:v>1034647.53762223</c:v>
                </c:pt>
                <c:pt idx="26">
                  <c:v>1112331.05996649</c:v>
                </c:pt>
                <c:pt idx="27">
                  <c:v>1195974.85006501</c:v>
                </c:pt>
                <c:pt idx="28">
                  <c:v>1286043.00863648</c:v>
                </c:pt>
                <c:pt idx="29">
                  <c:v>1383036.12842198</c:v>
                </c:pt>
              </c:numCache>
            </c:numRef>
          </c:val>
        </c:ser>
        <c:ser>
          <c:idx val="5"/>
          <c:order val="5"/>
          <c:tx>
            <c:strRef>
              <c:f>Charts!G3</c:f>
              <c:strCache>
                <c:ptCount val="1"/>
                <c:pt idx="0">
                  <c:v>Brokerage</c:v>
                </c:pt>
              </c:strCache>
            </c:strRef>
          </c:tx>
          <c:spPr>
            <a:solidFill>
              <a:srgbClr val="F79646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Charts!$A$4:$A$33</c:f>
              <c:strCache>
                <c:ptCount val="30"/>
                <c:pt idx="0">
                  <c:v>56</c:v>
                </c:pt>
                <c:pt idx="1">
                  <c:v>57</c:v>
                </c:pt>
                <c:pt idx="2">
                  <c:v>58</c:v>
                </c:pt>
                <c:pt idx="3">
                  <c:v>59</c:v>
                </c:pt>
                <c:pt idx="4">
                  <c:v>60</c:v>
                </c:pt>
                <c:pt idx="5">
                  <c:v>61</c:v>
                </c:pt>
                <c:pt idx="6">
                  <c:v>62</c:v>
                </c:pt>
                <c:pt idx="7">
                  <c:v>63</c:v>
                </c:pt>
                <c:pt idx="8">
                  <c:v>64</c:v>
                </c:pt>
                <c:pt idx="9">
                  <c:v>65</c:v>
                </c:pt>
                <c:pt idx="10">
                  <c:v>66</c:v>
                </c:pt>
                <c:pt idx="11">
                  <c:v>67</c:v>
                </c:pt>
                <c:pt idx="12">
                  <c:v>68</c:v>
                </c:pt>
                <c:pt idx="13">
                  <c:v>69</c:v>
                </c:pt>
                <c:pt idx="14">
                  <c:v>70</c:v>
                </c:pt>
                <c:pt idx="15">
                  <c:v>71</c:v>
                </c:pt>
                <c:pt idx="16">
                  <c:v>72</c:v>
                </c:pt>
                <c:pt idx="17">
                  <c:v>73</c:v>
                </c:pt>
                <c:pt idx="18">
                  <c:v>74</c:v>
                </c:pt>
                <c:pt idx="19">
                  <c:v>75</c:v>
                </c:pt>
                <c:pt idx="20">
                  <c:v>76</c:v>
                </c:pt>
                <c:pt idx="21">
                  <c:v>77</c:v>
                </c:pt>
                <c:pt idx="22">
                  <c:v>78</c:v>
                </c:pt>
                <c:pt idx="23">
                  <c:v>79</c:v>
                </c:pt>
                <c:pt idx="24">
                  <c:v>80</c:v>
                </c:pt>
                <c:pt idx="25">
                  <c:v>81</c:v>
                </c:pt>
                <c:pt idx="26">
                  <c:v>82</c:v>
                </c:pt>
                <c:pt idx="27">
                  <c:v>83</c:v>
                </c:pt>
                <c:pt idx="28">
                  <c:v>84</c:v>
                </c:pt>
                <c:pt idx="29">
                  <c:v>85</c:v>
                </c:pt>
              </c:strCache>
            </c:strRef>
          </c:cat>
          <c:val>
            <c:numRef>
              <c:f>Charts!$G$4:$G$33</c:f>
              <c:numCache>
                <c:formatCode>\$#,##0</c:formatCode>
                <c:ptCount val="30"/>
                <c:pt idx="0">
                  <c:v>540000</c:v>
                </c:pt>
                <c:pt idx="1">
                  <c:v>583200</c:v>
                </c:pt>
                <c:pt idx="2">
                  <c:v>629856</c:v>
                </c:pt>
                <c:pt idx="3">
                  <c:v>680244.48</c:v>
                </c:pt>
                <c:pt idx="4">
                  <c:v>734664.0384</c:v>
                </c:pt>
                <c:pt idx="5">
                  <c:v>793437.161472</c:v>
                </c:pt>
                <c:pt idx="6">
                  <c:v>856912.13438976</c:v>
                </c:pt>
                <c:pt idx="7">
                  <c:v>925465.105140941</c:v>
                </c:pt>
                <c:pt idx="8">
                  <c:v>999502.313552217</c:v>
                </c:pt>
                <c:pt idx="9">
                  <c:v>1079462.49863639</c:v>
                </c:pt>
                <c:pt idx="10">
                  <c:v>1165819.49852731</c:v>
                </c:pt>
                <c:pt idx="11">
                  <c:v>1259085.05840949</c:v>
                </c:pt>
                <c:pt idx="12">
                  <c:v>1359811.86308225</c:v>
                </c:pt>
                <c:pt idx="13">
                  <c:v>1468596.81212883</c:v>
                </c:pt>
                <c:pt idx="14">
                  <c:v>1586084.55709914</c:v>
                </c:pt>
                <c:pt idx="15">
                  <c:v>1712971.32166707</c:v>
                </c:pt>
                <c:pt idx="16">
                  <c:v>1850009.02740043</c:v>
                </c:pt>
                <c:pt idx="17">
                  <c:v>1998009.74959247</c:v>
                </c:pt>
                <c:pt idx="18">
                  <c:v>2157850.52955986</c:v>
                </c:pt>
                <c:pt idx="19">
                  <c:v>2330478.57192465</c:v>
                </c:pt>
                <c:pt idx="20">
                  <c:v>2516916.85767863</c:v>
                </c:pt>
                <c:pt idx="21">
                  <c:v>2718270.20629292</c:v>
                </c:pt>
                <c:pt idx="22">
                  <c:v>2935731.82279635</c:v>
                </c:pt>
                <c:pt idx="23">
                  <c:v>3170590.36862006</c:v>
                </c:pt>
                <c:pt idx="24">
                  <c:v>3424237.59810966</c:v>
                </c:pt>
                <c:pt idx="25">
                  <c:v>3698176.60595844</c:v>
                </c:pt>
                <c:pt idx="26">
                  <c:v>3994030.73443511</c:v>
                </c:pt>
                <c:pt idx="27">
                  <c:v>4313553.19318992</c:v>
                </c:pt>
                <c:pt idx="28">
                  <c:v>4658637.44864512</c:v>
                </c:pt>
                <c:pt idx="29">
                  <c:v>5031328.44453672</c:v>
                </c:pt>
              </c:numCache>
            </c:numRef>
          </c:val>
        </c:ser>
        <c:gapWidth val="150"/>
        <c:overlap val="100"/>
        <c:axId val="67194089"/>
        <c:axId val="5062873"/>
      </c:barChart>
      <c:catAx>
        <c:axId val="671940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62873"/>
        <c:crosses val="autoZero"/>
        <c:auto val="1"/>
        <c:lblAlgn val="ctr"/>
        <c:lblOffset val="100"/>
        <c:noMultiLvlLbl val="0"/>
      </c:catAx>
      <c:valAx>
        <c:axId val="50628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1940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Annual Income Sources in Retirement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Charts!B35</c:f>
              <c:strCache>
                <c:ptCount val="1"/>
                <c:pt idx="0">
                  <c:v>Your SS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Charts!$A$36:$A$56</c:f>
              <c:strCache>
                <c:ptCount val="21"/>
                <c:pt idx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69</c:v>
                </c:pt>
                <c:pt idx="5">
                  <c:v>70</c:v>
                </c:pt>
                <c:pt idx="6">
                  <c:v>71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75</c:v>
                </c:pt>
                <c:pt idx="11">
                  <c:v>76</c:v>
                </c:pt>
                <c:pt idx="12">
                  <c:v>77</c:v>
                </c:pt>
                <c:pt idx="13">
                  <c:v>78</c:v>
                </c:pt>
                <c:pt idx="14">
                  <c:v>79</c:v>
                </c:pt>
                <c:pt idx="15">
                  <c:v>80</c:v>
                </c:pt>
                <c:pt idx="16">
                  <c:v>81</c:v>
                </c:pt>
                <c:pt idx="17">
                  <c:v>82</c:v>
                </c:pt>
                <c:pt idx="18">
                  <c:v>83</c:v>
                </c:pt>
                <c:pt idx="19">
                  <c:v>84</c:v>
                </c:pt>
                <c:pt idx="20">
                  <c:v>85</c:v>
                </c:pt>
              </c:strCache>
            </c:strRef>
          </c:cat>
          <c:val>
            <c:numRef>
              <c:f>Charts!$B$36:$B$56</c:f>
              <c:numCache>
                <c:formatCode>\$#,##0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47664</c:v>
                </c:pt>
                <c:pt idx="3">
                  <c:v>48855.6</c:v>
                </c:pt>
                <c:pt idx="4">
                  <c:v>50076.99</c:v>
                </c:pt>
                <c:pt idx="5">
                  <c:v>51328.91475</c:v>
                </c:pt>
                <c:pt idx="6">
                  <c:v>52612.13761875</c:v>
                </c:pt>
                <c:pt idx="7">
                  <c:v>53927.4410592187</c:v>
                </c:pt>
                <c:pt idx="8">
                  <c:v>55275.6270856992</c:v>
                </c:pt>
                <c:pt idx="9">
                  <c:v>56657.5177628417</c:v>
                </c:pt>
                <c:pt idx="10">
                  <c:v>58073.9557069127</c:v>
                </c:pt>
                <c:pt idx="11">
                  <c:v>59525.8045995855</c:v>
                </c:pt>
                <c:pt idx="12">
                  <c:v>61013.9497145751</c:v>
                </c:pt>
                <c:pt idx="13">
                  <c:v>62539.2984574395</c:v>
                </c:pt>
                <c:pt idx="14">
                  <c:v>64102.7809188755</c:v>
                </c:pt>
                <c:pt idx="15">
                  <c:v>65705.3504418474</c:v>
                </c:pt>
                <c:pt idx="16">
                  <c:v>67347.9842028936</c:v>
                </c:pt>
                <c:pt idx="17">
                  <c:v>69031.6838079659</c:v>
                </c:pt>
                <c:pt idx="18">
                  <c:v>70757.475903165</c:v>
                </c:pt>
                <c:pt idx="19">
                  <c:v>72526.4128007442</c:v>
                </c:pt>
                <c:pt idx="20">
                  <c:v>74339.5731207628</c:v>
                </c:pt>
              </c:numCache>
            </c:numRef>
          </c:val>
        </c:ser>
        <c:ser>
          <c:idx val="1"/>
          <c:order val="1"/>
          <c:tx>
            <c:strRef>
              <c:f>Charts!C35</c:f>
              <c:strCache>
                <c:ptCount val="1"/>
                <c:pt idx="0">
                  <c:v>Wife SS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Charts!$A$36:$A$56</c:f>
              <c:strCache>
                <c:ptCount val="21"/>
                <c:pt idx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69</c:v>
                </c:pt>
                <c:pt idx="5">
                  <c:v>70</c:v>
                </c:pt>
                <c:pt idx="6">
                  <c:v>71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75</c:v>
                </c:pt>
                <c:pt idx="11">
                  <c:v>76</c:v>
                </c:pt>
                <c:pt idx="12">
                  <c:v>77</c:v>
                </c:pt>
                <c:pt idx="13">
                  <c:v>78</c:v>
                </c:pt>
                <c:pt idx="14">
                  <c:v>79</c:v>
                </c:pt>
                <c:pt idx="15">
                  <c:v>80</c:v>
                </c:pt>
                <c:pt idx="16">
                  <c:v>81</c:v>
                </c:pt>
                <c:pt idx="17">
                  <c:v>82</c:v>
                </c:pt>
                <c:pt idx="18">
                  <c:v>83</c:v>
                </c:pt>
                <c:pt idx="19">
                  <c:v>84</c:v>
                </c:pt>
                <c:pt idx="20">
                  <c:v>85</c:v>
                </c:pt>
              </c:strCache>
            </c:strRef>
          </c:cat>
          <c:val>
            <c:numRef>
              <c:f>Charts!$C$36:$C$56</c:f>
              <c:numCache>
                <c:formatCode>\$#,##0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23832</c:v>
                </c:pt>
                <c:pt idx="6">
                  <c:v>24427.8</c:v>
                </c:pt>
                <c:pt idx="7">
                  <c:v>25038.495</c:v>
                </c:pt>
                <c:pt idx="8">
                  <c:v>25664.457375</c:v>
                </c:pt>
                <c:pt idx="9">
                  <c:v>26306.068809375</c:v>
                </c:pt>
                <c:pt idx="10">
                  <c:v>26963.7205296094</c:v>
                </c:pt>
                <c:pt idx="11">
                  <c:v>27637.8135428496</c:v>
                </c:pt>
                <c:pt idx="12">
                  <c:v>28328.7588814208</c:v>
                </c:pt>
                <c:pt idx="13">
                  <c:v>29036.9778534564</c:v>
                </c:pt>
                <c:pt idx="14">
                  <c:v>29762.9022997928</c:v>
                </c:pt>
                <c:pt idx="15">
                  <c:v>30506.9748572876</c:v>
                </c:pt>
                <c:pt idx="16">
                  <c:v>31269.6492287198</c:v>
                </c:pt>
                <c:pt idx="17">
                  <c:v>32051.3904594378</c:v>
                </c:pt>
                <c:pt idx="18">
                  <c:v>32852.6752209237</c:v>
                </c:pt>
                <c:pt idx="19">
                  <c:v>33673.9921014468</c:v>
                </c:pt>
                <c:pt idx="20">
                  <c:v>34515.8419039829</c:v>
                </c:pt>
              </c:numCache>
            </c:numRef>
          </c:val>
        </c:ser>
        <c:ser>
          <c:idx val="2"/>
          <c:order val="2"/>
          <c:tx>
            <c:strRef>
              <c:f>Charts!D35</c:f>
              <c:strCache>
                <c:ptCount val="1"/>
                <c:pt idx="0">
                  <c:v>Trad Draw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Charts!$A$36:$A$56</c:f>
              <c:strCache>
                <c:ptCount val="21"/>
                <c:pt idx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69</c:v>
                </c:pt>
                <c:pt idx="5">
                  <c:v>70</c:v>
                </c:pt>
                <c:pt idx="6">
                  <c:v>71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75</c:v>
                </c:pt>
                <c:pt idx="11">
                  <c:v>76</c:v>
                </c:pt>
                <c:pt idx="12">
                  <c:v>77</c:v>
                </c:pt>
                <c:pt idx="13">
                  <c:v>78</c:v>
                </c:pt>
                <c:pt idx="14">
                  <c:v>79</c:v>
                </c:pt>
                <c:pt idx="15">
                  <c:v>80</c:v>
                </c:pt>
                <c:pt idx="16">
                  <c:v>81</c:v>
                </c:pt>
                <c:pt idx="17">
                  <c:v>82</c:v>
                </c:pt>
                <c:pt idx="18">
                  <c:v>83</c:v>
                </c:pt>
                <c:pt idx="19">
                  <c:v>84</c:v>
                </c:pt>
                <c:pt idx="20">
                  <c:v>85</c:v>
                </c:pt>
              </c:strCache>
            </c:strRef>
          </c:cat>
          <c:val>
            <c:numRef>
              <c:f>Charts!$D$36:$D$56</c:f>
              <c:numCache>
                <c:formatCode>\$#,##0</c:formatCode>
                <c:ptCount val="21"/>
                <c:pt idx="0">
                  <c:v>171050</c:v>
                </c:pt>
                <c:pt idx="1">
                  <c:v>171050</c:v>
                </c:pt>
                <c:pt idx="2">
                  <c:v>130535.6</c:v>
                </c:pt>
                <c:pt idx="3">
                  <c:v>129522.74</c:v>
                </c:pt>
                <c:pt idx="4">
                  <c:v>128484.5585</c:v>
                </c:pt>
                <c:pt idx="5">
                  <c:v>127420.4224625</c:v>
                </c:pt>
                <c:pt idx="6">
                  <c:v>126329.683024063</c:v>
                </c:pt>
                <c:pt idx="7">
                  <c:v>125211.675099664</c:v>
                </c:pt>
                <c:pt idx="8">
                  <c:v>124065.716977156</c:v>
                </c:pt>
                <c:pt idx="9">
                  <c:v>122891.109901585</c:v>
                </c:pt>
                <c:pt idx="10">
                  <c:v>121687.137649124</c:v>
                </c:pt>
                <c:pt idx="11">
                  <c:v>120453.066090352</c:v>
                </c:pt>
                <c:pt idx="12">
                  <c:v>119188.142742611</c:v>
                </c:pt>
                <c:pt idx="13">
                  <c:v>117891.596311176</c:v>
                </c:pt>
                <c:pt idx="14">
                  <c:v>116562.636218956</c:v>
                </c:pt>
                <c:pt idx="15">
                  <c:v>115200.45212443</c:v>
                </c:pt>
                <c:pt idx="16">
                  <c:v>113804.21342754</c:v>
                </c:pt>
                <c:pt idx="17">
                  <c:v>112373.068763229</c:v>
                </c:pt>
                <c:pt idx="18">
                  <c:v>110906.14548231</c:v>
                </c:pt>
                <c:pt idx="19">
                  <c:v>109402.549119367</c:v>
                </c:pt>
                <c:pt idx="20">
                  <c:v>107861.362847352</c:v>
                </c:pt>
              </c:numCache>
            </c:numRef>
          </c:val>
        </c:ser>
        <c:ser>
          <c:idx val="3"/>
          <c:order val="3"/>
          <c:tx>
            <c:strRef>
              <c:f>Charts!E35</c:f>
              <c:strCache>
                <c:ptCount val="1"/>
                <c:pt idx="0">
                  <c:v>Roth Draw</c:v>
                </c:pt>
              </c:strCache>
            </c:strRef>
          </c:tx>
          <c:spPr>
            <a:solidFill>
              <a:srgbClr val="8064A2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Charts!$A$36:$A$56</c:f>
              <c:strCache>
                <c:ptCount val="21"/>
                <c:pt idx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69</c:v>
                </c:pt>
                <c:pt idx="5">
                  <c:v>70</c:v>
                </c:pt>
                <c:pt idx="6">
                  <c:v>71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75</c:v>
                </c:pt>
                <c:pt idx="11">
                  <c:v>76</c:v>
                </c:pt>
                <c:pt idx="12">
                  <c:v>77</c:v>
                </c:pt>
                <c:pt idx="13">
                  <c:v>78</c:v>
                </c:pt>
                <c:pt idx="14">
                  <c:v>79</c:v>
                </c:pt>
                <c:pt idx="15">
                  <c:v>80</c:v>
                </c:pt>
                <c:pt idx="16">
                  <c:v>81</c:v>
                </c:pt>
                <c:pt idx="17">
                  <c:v>82</c:v>
                </c:pt>
                <c:pt idx="18">
                  <c:v>83</c:v>
                </c:pt>
                <c:pt idx="19">
                  <c:v>84</c:v>
                </c:pt>
                <c:pt idx="20">
                  <c:v>85</c:v>
                </c:pt>
              </c:strCache>
            </c:strRef>
          </c:cat>
          <c:val>
            <c:numRef>
              <c:f>Charts!$E$36:$E$56</c:f>
              <c:numCache>
                <c:formatCode>\$#,##0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ser>
          <c:idx val="4"/>
          <c:order val="4"/>
          <c:tx>
            <c:strRef>
              <c:f>Charts!F35</c:f>
              <c:strCache>
                <c:ptCount val="1"/>
                <c:pt idx="0">
                  <c:v>Brok Draw</c:v>
                </c:pt>
              </c:strCache>
            </c:strRef>
          </c:tx>
          <c:spPr>
            <a:solidFill>
              <a:srgbClr val="4BACC6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Charts!$A$36:$A$56</c:f>
              <c:strCache>
                <c:ptCount val="21"/>
                <c:pt idx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69</c:v>
                </c:pt>
                <c:pt idx="5">
                  <c:v>70</c:v>
                </c:pt>
                <c:pt idx="6">
                  <c:v>71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75</c:v>
                </c:pt>
                <c:pt idx="11">
                  <c:v>76</c:v>
                </c:pt>
                <c:pt idx="12">
                  <c:v>77</c:v>
                </c:pt>
                <c:pt idx="13">
                  <c:v>78</c:v>
                </c:pt>
                <c:pt idx="14">
                  <c:v>79</c:v>
                </c:pt>
                <c:pt idx="15">
                  <c:v>80</c:v>
                </c:pt>
                <c:pt idx="16">
                  <c:v>81</c:v>
                </c:pt>
                <c:pt idx="17">
                  <c:v>82</c:v>
                </c:pt>
                <c:pt idx="18">
                  <c:v>83</c:v>
                </c:pt>
                <c:pt idx="19">
                  <c:v>84</c:v>
                </c:pt>
                <c:pt idx="20">
                  <c:v>85</c:v>
                </c:pt>
              </c:strCache>
            </c:strRef>
          </c:cat>
          <c:val>
            <c:numRef>
              <c:f>Charts!$F$36:$F$56</c:f>
              <c:numCache>
                <c:formatCode>\$#,##0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gapWidth val="150"/>
        <c:overlap val="100"/>
        <c:axId val="8645488"/>
        <c:axId val="91649147"/>
      </c:barChart>
      <c:catAx>
        <c:axId val="86454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649147"/>
        <c:crosses val="autoZero"/>
        <c:auto val="1"/>
        <c:lblAlgn val="ctr"/>
        <c:lblOffset val="100"/>
        <c:noMultiLvlLbl val="0"/>
      </c:catAx>
      <c:valAx>
        <c:axId val="916491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Income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454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Portfolio Stress Test (4% / 8% / 10% Growth)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Charts!B58</c:f>
              <c:strCache>
                <c:ptCount val="1"/>
                <c:pt idx="0">
                  <c:v>Bear 4%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Charts!$A$59:$A$79</c:f>
              <c:strCache>
                <c:ptCount val="21"/>
                <c:pt idx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69</c:v>
                </c:pt>
                <c:pt idx="5">
                  <c:v>70</c:v>
                </c:pt>
                <c:pt idx="6">
                  <c:v>71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75</c:v>
                </c:pt>
                <c:pt idx="11">
                  <c:v>76</c:v>
                </c:pt>
                <c:pt idx="12">
                  <c:v>77</c:v>
                </c:pt>
                <c:pt idx="13">
                  <c:v>78</c:v>
                </c:pt>
                <c:pt idx="14">
                  <c:v>79</c:v>
                </c:pt>
                <c:pt idx="15">
                  <c:v>80</c:v>
                </c:pt>
                <c:pt idx="16">
                  <c:v>81</c:v>
                </c:pt>
                <c:pt idx="17">
                  <c:v>82</c:v>
                </c:pt>
                <c:pt idx="18">
                  <c:v>83</c:v>
                </c:pt>
                <c:pt idx="19">
                  <c:v>84</c:v>
                </c:pt>
                <c:pt idx="20">
                  <c:v>85</c:v>
                </c:pt>
              </c:strCache>
            </c:strRef>
          </c:cat>
          <c:val>
            <c:numRef>
              <c:f>Charts!$B$59:$B$79</c:f>
              <c:numCache>
                <c:formatCode>\$#,##0</c:formatCode>
                <c:ptCount val="21"/>
                <c:pt idx="0">
                  <c:v>9132439.10407305</c:v>
                </c:pt>
                <c:pt idx="1">
                  <c:v>9324355.66823597</c:v>
                </c:pt>
                <c:pt idx="2">
                  <c:v>9564346.74496541</c:v>
                </c:pt>
                <c:pt idx="3">
                  <c:v>9814827.94726403</c:v>
                </c:pt>
                <c:pt idx="4">
                  <c:v>10076238.0827796</c:v>
                </c:pt>
                <c:pt idx="5">
                  <c:v>10349033.8385595</c:v>
                </c:pt>
                <c:pt idx="6">
                  <c:v>10633690.4967557</c:v>
                </c:pt>
                <c:pt idx="7">
                  <c:v>10930702.6785879</c:v>
                </c:pt>
                <c:pt idx="8">
                  <c:v>11240585.1176691</c:v>
                </c:pt>
                <c:pt idx="9">
                  <c:v>11563873.4638348</c:v>
                </c:pt>
                <c:pt idx="10">
                  <c:v>11901125.1186676</c:v>
                </c:pt>
                <c:pt idx="11">
                  <c:v>12252920.1039489</c:v>
                </c:pt>
                <c:pt idx="12">
                  <c:v>12619861.9643205</c:v>
                </c:pt>
                <c:pt idx="13">
                  <c:v>13002578.7054862</c:v>
                </c:pt>
                <c:pt idx="14">
                  <c:v>13401723.7693359</c:v>
                </c:pt>
                <c:pt idx="15">
                  <c:v>13817977.0474267</c:v>
                </c:pt>
                <c:pt idx="16">
                  <c:v>14252045.93431</c:v>
                </c:pt>
                <c:pt idx="17">
                  <c:v>14704666.4222536</c:v>
                </c:pt>
                <c:pt idx="18">
                  <c:v>15176604.2389627</c:v>
                </c:pt>
                <c:pt idx="19">
                  <c:v>15668656.0299681</c:v>
                </c:pt>
                <c:pt idx="20">
                  <c:v>16181650.587414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Charts!C58</c:f>
              <c:strCache>
                <c:ptCount val="1"/>
                <c:pt idx="0">
                  <c:v>Base 8%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Charts!$A$59:$A$79</c:f>
              <c:strCache>
                <c:ptCount val="21"/>
                <c:pt idx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69</c:v>
                </c:pt>
                <c:pt idx="5">
                  <c:v>70</c:v>
                </c:pt>
                <c:pt idx="6">
                  <c:v>71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75</c:v>
                </c:pt>
                <c:pt idx="11">
                  <c:v>76</c:v>
                </c:pt>
                <c:pt idx="12">
                  <c:v>77</c:v>
                </c:pt>
                <c:pt idx="13">
                  <c:v>78</c:v>
                </c:pt>
                <c:pt idx="14">
                  <c:v>79</c:v>
                </c:pt>
                <c:pt idx="15">
                  <c:v>80</c:v>
                </c:pt>
                <c:pt idx="16">
                  <c:v>81</c:v>
                </c:pt>
                <c:pt idx="17">
                  <c:v>82</c:v>
                </c:pt>
                <c:pt idx="18">
                  <c:v>83</c:v>
                </c:pt>
                <c:pt idx="19">
                  <c:v>84</c:v>
                </c:pt>
                <c:pt idx="20">
                  <c:v>85</c:v>
                </c:pt>
              </c:strCache>
            </c:strRef>
          </c:cat>
          <c:val>
            <c:numRef>
              <c:f>Charts!$C$59:$C$79</c:f>
              <c:numCache>
                <c:formatCode>\$#,##0</c:formatCode>
                <c:ptCount val="21"/>
                <c:pt idx="0">
                  <c:v>9490350.99269125</c:v>
                </c:pt>
                <c:pt idx="1">
                  <c:v>10076198.0721065</c:v>
                </c:pt>
                <c:pt idx="2">
                  <c:v>10749310.7678751</c:v>
                </c:pt>
                <c:pt idx="3">
                  <c:v>11477162.9618051</c:v>
                </c:pt>
                <c:pt idx="4">
                  <c:v>12264153.0163745</c:v>
                </c:pt>
                <c:pt idx="5">
                  <c:v>13115031.4901532</c:v>
                </c:pt>
                <c:pt idx="6">
                  <c:v>14034929.3140192</c:v>
                </c:pt>
                <c:pt idx="7">
                  <c:v>15029388.2211028</c:v>
                </c:pt>
                <c:pt idx="8">
                  <c:v>16104393.6107286</c:v>
                </c:pt>
                <c:pt idx="9">
                  <c:v>17266410.0410459</c:v>
                </c:pt>
                <c:pt idx="10">
                  <c:v>18522419.560609</c:v>
                </c:pt>
                <c:pt idx="11">
                  <c:v>19879963.1059923</c:v>
                </c:pt>
                <c:pt idx="12">
                  <c:v>21347185.2106853</c:v>
                </c:pt>
                <c:pt idx="13">
                  <c:v>22932882.290133</c:v>
                </c:pt>
                <c:pt idx="14">
                  <c:v>24646554.7889739</c:v>
                </c:pt>
                <c:pt idx="15">
                  <c:v>26498463.4994091</c:v>
                </c:pt>
                <c:pt idx="16">
                  <c:v>28499690.3843481</c:v>
                </c:pt>
                <c:pt idx="17">
                  <c:v>30662204.2656672</c:v>
                </c:pt>
                <c:pt idx="18">
                  <c:v>32998931.7667395</c:v>
                </c:pt>
                <c:pt idx="19">
                  <c:v>35523833.9295256</c:v>
                </c:pt>
                <c:pt idx="20">
                  <c:v>38251988.9601348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Charts!D58</c:f>
              <c:strCache>
                <c:ptCount val="1"/>
                <c:pt idx="0">
                  <c:v>Bull 10%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Charts!$A$59:$A$79</c:f>
              <c:strCache>
                <c:ptCount val="21"/>
                <c:pt idx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69</c:v>
                </c:pt>
                <c:pt idx="5">
                  <c:v>70</c:v>
                </c:pt>
                <c:pt idx="6">
                  <c:v>71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75</c:v>
                </c:pt>
                <c:pt idx="11">
                  <c:v>76</c:v>
                </c:pt>
                <c:pt idx="12">
                  <c:v>77</c:v>
                </c:pt>
                <c:pt idx="13">
                  <c:v>78</c:v>
                </c:pt>
                <c:pt idx="14">
                  <c:v>79</c:v>
                </c:pt>
                <c:pt idx="15">
                  <c:v>80</c:v>
                </c:pt>
                <c:pt idx="16">
                  <c:v>81</c:v>
                </c:pt>
                <c:pt idx="17">
                  <c:v>82</c:v>
                </c:pt>
                <c:pt idx="18">
                  <c:v>83</c:v>
                </c:pt>
                <c:pt idx="19">
                  <c:v>84</c:v>
                </c:pt>
                <c:pt idx="20">
                  <c:v>85</c:v>
                </c:pt>
              </c:strCache>
            </c:strRef>
          </c:cat>
          <c:val>
            <c:numRef>
              <c:f>Charts!$D$59:$D$79</c:f>
              <c:numCache>
                <c:formatCode>\$#,##0</c:formatCode>
                <c:ptCount val="21"/>
                <c:pt idx="0">
                  <c:v>9669306.93700034</c:v>
                </c:pt>
                <c:pt idx="1">
                  <c:v>10462856.6307004</c:v>
                </c:pt>
                <c:pt idx="2">
                  <c:v>11376159.1437704</c:v>
                </c:pt>
                <c:pt idx="3">
                  <c:v>12381682.3906475</c:v>
                </c:pt>
                <c:pt idx="4">
                  <c:v>13488667.6473372</c:v>
                </c:pt>
                <c:pt idx="5">
                  <c:v>14707280.6445397</c:v>
                </c:pt>
                <c:pt idx="6">
                  <c:v>16048704.0136474</c:v>
                </c:pt>
                <c:pt idx="7">
                  <c:v>17525238.9769742</c:v>
                </c:pt>
                <c:pt idx="8">
                  <c:v>19150417.2066092</c:v>
                </c:pt>
                <c:pt idx="9">
                  <c:v>20939123.8687291</c:v>
                </c:pt>
                <c:pt idx="10">
                  <c:v>22907732.9718814</c:v>
                </c:pt>
                <c:pt idx="11">
                  <c:v>25074256.2496042</c:v>
                </c:pt>
                <c:pt idx="12">
                  <c:v>27458506.9307783</c:v>
                </c:pt>
                <c:pt idx="13">
                  <c:v>30082279.8864489</c:v>
                </c:pt>
                <c:pt idx="14">
                  <c:v>32969549.7907241</c:v>
                </c:pt>
                <c:pt idx="15">
                  <c:v>36146689.0971138</c:v>
                </c:pt>
                <c:pt idx="16">
                  <c:v>39642707.8118115</c:v>
                </c:pt>
                <c:pt idx="17">
                  <c:v>43489517.2435639</c:v>
                </c:pt>
                <c:pt idx="18">
                  <c:v>47722220.1277392</c:v>
                </c:pt>
                <c:pt idx="19">
                  <c:v>52379429.76196</c:v>
                </c:pt>
                <c:pt idx="20">
                  <c:v>57503621.0544032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039156"/>
        <c:axId val="64966211"/>
      </c:lineChart>
      <c:catAx>
        <c:axId val="830391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966211"/>
        <c:crosses val="autoZero"/>
        <c:auto val="1"/>
        <c:lblAlgn val="ctr"/>
        <c:lblOffset val="100"/>
        <c:noMultiLvlLbl val="0"/>
      </c:catAx>
      <c:valAx>
        <c:axId val="649662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Portfolio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03915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Withdrawal Rate vs 4% Guideline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Charts!E58</c:f>
              <c:strCache>
                <c:ptCount val="1"/>
                <c:pt idx="0">
                  <c:v>Withdrawal
Rate %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Charts!$A$59:$A$79</c:f>
              <c:strCache>
                <c:ptCount val="21"/>
                <c:pt idx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69</c:v>
                </c:pt>
                <c:pt idx="5">
                  <c:v>70</c:v>
                </c:pt>
                <c:pt idx="6">
                  <c:v>71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75</c:v>
                </c:pt>
                <c:pt idx="11">
                  <c:v>76</c:v>
                </c:pt>
                <c:pt idx="12">
                  <c:v>77</c:v>
                </c:pt>
                <c:pt idx="13">
                  <c:v>78</c:v>
                </c:pt>
                <c:pt idx="14">
                  <c:v>79</c:v>
                </c:pt>
                <c:pt idx="15">
                  <c:v>80</c:v>
                </c:pt>
                <c:pt idx="16">
                  <c:v>81</c:v>
                </c:pt>
                <c:pt idx="17">
                  <c:v>82</c:v>
                </c:pt>
                <c:pt idx="18">
                  <c:v>83</c:v>
                </c:pt>
                <c:pt idx="19">
                  <c:v>84</c:v>
                </c:pt>
                <c:pt idx="20">
                  <c:v>85</c:v>
                </c:pt>
              </c:strCache>
            </c:strRef>
          </c:cat>
          <c:val>
            <c:numRef>
              <c:f>Charts!$E$59:$E$79</c:f>
              <c:numCache>
                <c:formatCode>0.0</c:formatCode>
                <c:ptCount val="21"/>
                <c:pt idx="0">
                  <c:v>2.89394044196095</c:v>
                </c:pt>
                <c:pt idx="1">
                  <c:v>2.85794669385908</c:v>
                </c:pt>
                <c:pt idx="2">
                  <c:v>2.14269729372886</c:v>
                </c:pt>
                <c:pt idx="3">
                  <c:v>2.07413421408362</c:v>
                </c:pt>
                <c:pt idx="4">
                  <c:v>2.00125246142858</c:v>
                </c:pt>
                <c:pt idx="5">
                  <c:v>1.92465415799426</c:v>
                </c:pt>
                <c:pt idx="6">
                  <c:v>1.84499663787272</c:v>
                </c:pt>
                <c:pt idx="7">
                  <c:v>1.76297410735805</c:v>
                </c:pt>
                <c:pt idx="8">
                  <c:v>1.67929830174105</c:v>
                </c:pt>
                <c:pt idx="9">
                  <c:v>1.59467923394917</c:v>
                </c:pt>
                <c:pt idx="10">
                  <c:v>1.50980706631961</c:v>
                </c:pt>
                <c:pt idx="11">
                  <c:v>1.4253359836682</c:v>
                </c:pt>
                <c:pt idx="12">
                  <c:v>1.34187072849199</c:v>
                </c:pt>
                <c:pt idx="13">
                  <c:v>1.25995620828742</c:v>
                </c:pt>
                <c:pt idx="14">
                  <c:v>1.18007033156995</c:v>
                </c:pt>
                <c:pt idx="15">
                  <c:v>1.10261999981401</c:v>
                </c:pt>
                <c:pt idx="16">
                  <c:v>1.02793999619742</c:v>
                </c:pt>
                <c:pt idx="17">
                  <c:v>0.956294378941346</c:v>
                </c:pt>
                <c:pt idx="18">
                  <c:v>0.887879909078267</c:v>
                </c:pt>
                <c:pt idx="19">
                  <c:v>0.822831014932614</c:v>
                </c:pt>
                <c:pt idx="20">
                  <c:v>0.761225809389379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Charts!F58</c:f>
              <c:strCache>
                <c:ptCount val="1"/>
                <c:pt idx="0">
                  <c:v>4% Guide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Charts!$A$59:$A$79</c:f>
              <c:strCache>
                <c:ptCount val="21"/>
                <c:pt idx="0">
                  <c:v>65</c:v>
                </c:pt>
                <c:pt idx="1">
                  <c:v>66</c:v>
                </c:pt>
                <c:pt idx="2">
                  <c:v>67</c:v>
                </c:pt>
                <c:pt idx="3">
                  <c:v>68</c:v>
                </c:pt>
                <c:pt idx="4">
                  <c:v>69</c:v>
                </c:pt>
                <c:pt idx="5">
                  <c:v>70</c:v>
                </c:pt>
                <c:pt idx="6">
                  <c:v>71</c:v>
                </c:pt>
                <c:pt idx="7">
                  <c:v>72</c:v>
                </c:pt>
                <c:pt idx="8">
                  <c:v>73</c:v>
                </c:pt>
                <c:pt idx="9">
                  <c:v>74</c:v>
                </c:pt>
                <c:pt idx="10">
                  <c:v>75</c:v>
                </c:pt>
                <c:pt idx="11">
                  <c:v>76</c:v>
                </c:pt>
                <c:pt idx="12">
                  <c:v>77</c:v>
                </c:pt>
                <c:pt idx="13">
                  <c:v>78</c:v>
                </c:pt>
                <c:pt idx="14">
                  <c:v>79</c:v>
                </c:pt>
                <c:pt idx="15">
                  <c:v>80</c:v>
                </c:pt>
                <c:pt idx="16">
                  <c:v>81</c:v>
                </c:pt>
                <c:pt idx="17">
                  <c:v>82</c:v>
                </c:pt>
                <c:pt idx="18">
                  <c:v>83</c:v>
                </c:pt>
                <c:pt idx="19">
                  <c:v>84</c:v>
                </c:pt>
                <c:pt idx="20">
                  <c:v>85</c:v>
                </c:pt>
              </c:strCache>
            </c:strRef>
          </c:cat>
          <c:val>
            <c:numRef>
              <c:f>Charts!$F$59:$F$79</c:f>
              <c:numCache>
                <c:formatCode>0.0</c:formatCode>
                <c:ptCount val="2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4165522"/>
        <c:axId val="66198551"/>
      </c:lineChart>
      <c:catAx>
        <c:axId val="641655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198551"/>
        <c:crosses val="autoZero"/>
        <c:auto val="1"/>
        <c:lblAlgn val="ctr"/>
        <c:lblOffset val="100"/>
        <c:noMultiLvlLbl val="0"/>
      </c:catAx>
      <c:valAx>
        <c:axId val="661985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16552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21</xdr:col>
      <xdr:colOff>551160</xdr:colOff>
      <xdr:row>32</xdr:row>
      <xdr:rowOff>44640</xdr:rowOff>
    </xdr:to>
    <xdr:graphicFrame>
      <xdr:nvGraphicFramePr>
        <xdr:cNvPr id="1" name="Chart 1"/>
        <xdr:cNvGraphicFramePr/>
      </xdr:nvGraphicFramePr>
      <xdr:xfrm>
        <a:off x="8881200" y="438120"/>
        <a:ext cx="863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34</xdr:row>
      <xdr:rowOff>0</xdr:rowOff>
    </xdr:from>
    <xdr:to>
      <xdr:col>21</xdr:col>
      <xdr:colOff>551160</xdr:colOff>
      <xdr:row>64</xdr:row>
      <xdr:rowOff>44640</xdr:rowOff>
    </xdr:to>
    <xdr:graphicFrame>
      <xdr:nvGraphicFramePr>
        <xdr:cNvPr id="2" name="Chart 2"/>
        <xdr:cNvGraphicFramePr/>
      </xdr:nvGraphicFramePr>
      <xdr:xfrm>
        <a:off x="8881200" y="6534000"/>
        <a:ext cx="863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81</xdr:row>
      <xdr:rowOff>0</xdr:rowOff>
    </xdr:from>
    <xdr:to>
      <xdr:col>8</xdr:col>
      <xdr:colOff>745200</xdr:colOff>
      <xdr:row>111</xdr:row>
      <xdr:rowOff>44640</xdr:rowOff>
    </xdr:to>
    <xdr:graphicFrame>
      <xdr:nvGraphicFramePr>
        <xdr:cNvPr id="3" name="Chart 3"/>
        <xdr:cNvGraphicFramePr/>
      </xdr:nvGraphicFramePr>
      <xdr:xfrm>
        <a:off x="0" y="15487560"/>
        <a:ext cx="863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81</xdr:row>
      <xdr:rowOff>0</xdr:rowOff>
    </xdr:from>
    <xdr:to>
      <xdr:col>21</xdr:col>
      <xdr:colOff>551160</xdr:colOff>
      <xdr:row>111</xdr:row>
      <xdr:rowOff>44640</xdr:rowOff>
    </xdr:to>
    <xdr:graphicFrame>
      <xdr:nvGraphicFramePr>
        <xdr:cNvPr id="4" name="Chart 4"/>
        <xdr:cNvGraphicFramePr/>
      </xdr:nvGraphicFramePr>
      <xdr:xfrm>
        <a:off x="8881200" y="15487560"/>
        <a:ext cx="863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E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3"/>
    <col collapsed="false" customWidth="true" hidden="false" outlineLevel="0" max="4" min="4" style="1" width="28"/>
    <col collapsed="false" customWidth="true" hidden="false" outlineLevel="0" max="5" min="5" style="1" width="20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3" customFormat="false" ht="21.75" hidden="false" customHeight="true" outlineLevel="0" collapsed="false">
      <c r="A3" s="4" t="s">
        <v>2</v>
      </c>
      <c r="B3" s="4"/>
      <c r="D3" s="4" t="s">
        <v>3</v>
      </c>
      <c r="E3" s="4"/>
    </row>
    <row r="4" customFormat="false" ht="15" hidden="false" customHeight="true" outlineLevel="0" collapsed="false">
      <c r="A4" s="5" t="s">
        <v>4</v>
      </c>
      <c r="B4" s="6" t="n">
        <v>56</v>
      </c>
      <c r="D4" s="5" t="s">
        <v>5</v>
      </c>
      <c r="E4" s="6" t="n">
        <v>51</v>
      </c>
    </row>
    <row r="5" customFormat="false" ht="15" hidden="false" customHeight="true" outlineLevel="0" collapsed="false">
      <c r="A5" s="5" t="s">
        <v>6</v>
      </c>
      <c r="B5" s="6" t="n">
        <v>65</v>
      </c>
      <c r="D5" s="5" t="s">
        <v>7</v>
      </c>
      <c r="E5" s="6" t="n">
        <v>65</v>
      </c>
    </row>
    <row r="6" customFormat="false" ht="15" hidden="false" customHeight="true" outlineLevel="0" collapsed="false">
      <c r="A6" s="5" t="s">
        <v>8</v>
      </c>
      <c r="B6" s="6" t="n">
        <v>85</v>
      </c>
      <c r="D6" s="5" t="s">
        <v>9</v>
      </c>
      <c r="E6" s="7" t="n">
        <v>0</v>
      </c>
    </row>
    <row r="7" customFormat="false" ht="15" hidden="false" customHeight="true" outlineLevel="0" collapsed="false">
      <c r="A7" s="5" t="s">
        <v>10</v>
      </c>
      <c r="B7" s="6" t="s">
        <v>11</v>
      </c>
      <c r="D7" s="5" t="s">
        <v>12</v>
      </c>
      <c r="E7" s="7" t="n">
        <v>0</v>
      </c>
    </row>
    <row r="8" customFormat="false" ht="15" hidden="false" customHeight="true" outlineLevel="0" collapsed="false">
      <c r="A8" s="5" t="s">
        <v>13</v>
      </c>
      <c r="B8" s="7" t="n">
        <v>300000</v>
      </c>
      <c r="D8" s="5" t="s">
        <v>14</v>
      </c>
      <c r="E8" s="7" t="n">
        <v>0</v>
      </c>
    </row>
    <row r="9" customFormat="false" ht="15" hidden="false" customHeight="true" outlineLevel="0" collapsed="false">
      <c r="A9" s="5" t="s">
        <v>15</v>
      </c>
      <c r="B9" s="7" t="n">
        <v>3000000</v>
      </c>
      <c r="D9" s="5" t="s">
        <v>16</v>
      </c>
      <c r="E9" s="8" t="n">
        <v>0</v>
      </c>
    </row>
    <row r="10" customFormat="false" ht="15" hidden="false" customHeight="true" outlineLevel="0" collapsed="false">
      <c r="A10" s="5" t="s">
        <v>17</v>
      </c>
      <c r="B10" s="7" t="n">
        <v>500000</v>
      </c>
      <c r="D10" s="5" t="s">
        <v>18</v>
      </c>
      <c r="E10" s="7" t="n">
        <v>50000</v>
      </c>
    </row>
    <row r="11" customFormat="false" ht="15" hidden="false" customHeight="true" outlineLevel="0" collapsed="false">
      <c r="A11" s="5" t="s">
        <v>19</v>
      </c>
      <c r="B11" s="7" t="n">
        <v>37500</v>
      </c>
      <c r="D11" s="5" t="s">
        <v>20</v>
      </c>
      <c r="E11" s="7" t="n">
        <v>10000</v>
      </c>
    </row>
    <row r="12" customFormat="false" ht="15" hidden="false" customHeight="true" outlineLevel="0" collapsed="false">
      <c r="A12" s="5" t="s">
        <v>21</v>
      </c>
      <c r="B12" s="8" t="n">
        <v>0.05</v>
      </c>
    </row>
    <row r="13" customFormat="false" ht="15" hidden="false" customHeight="true" outlineLevel="0" collapsed="false">
      <c r="A13" s="5" t="s">
        <v>22</v>
      </c>
      <c r="B13" s="7" t="n">
        <v>250000</v>
      </c>
    </row>
    <row r="14" customFormat="false" ht="15" hidden="false" customHeight="true" outlineLevel="0" collapsed="false">
      <c r="A14" s="5" t="s">
        <v>23</v>
      </c>
      <c r="B14" s="7" t="n">
        <v>100000</v>
      </c>
    </row>
    <row r="15" customFormat="false" ht="15" hidden="false" customHeight="true" outlineLevel="0" collapsed="false">
      <c r="A15" s="5" t="s">
        <v>24</v>
      </c>
      <c r="B15" s="7" t="n">
        <v>8000</v>
      </c>
    </row>
    <row r="16" customFormat="false" ht="15" hidden="false" customHeight="true" outlineLevel="0" collapsed="false">
      <c r="A16" s="5" t="s">
        <v>25</v>
      </c>
      <c r="B16" s="7" t="n">
        <v>500000</v>
      </c>
    </row>
    <row r="18" customFormat="false" ht="21.75" hidden="false" customHeight="true" outlineLevel="0" collapsed="false">
      <c r="A18" s="4" t="s">
        <v>26</v>
      </c>
      <c r="B18" s="4"/>
      <c r="C18" s="4"/>
      <c r="D18" s="4"/>
      <c r="E18" s="4"/>
    </row>
    <row r="19" customFormat="false" ht="15" hidden="false" customHeight="true" outlineLevel="0" collapsed="false">
      <c r="A19" s="5" t="s">
        <v>27</v>
      </c>
      <c r="B19" s="8" t="n">
        <v>0.08</v>
      </c>
    </row>
    <row r="20" customFormat="false" ht="15" hidden="false" customHeight="true" outlineLevel="0" collapsed="false">
      <c r="A20" s="5" t="s">
        <v>28</v>
      </c>
      <c r="B20" s="8" t="n">
        <v>0.03</v>
      </c>
    </row>
    <row r="21" customFormat="false" ht="15" hidden="false" customHeight="true" outlineLevel="0" collapsed="false">
      <c r="A21" s="5" t="s">
        <v>29</v>
      </c>
      <c r="B21" s="8" t="n">
        <v>0.025</v>
      </c>
    </row>
    <row r="22" customFormat="false" ht="15" hidden="false" customHeight="true" outlineLevel="0" collapsed="false">
      <c r="A22" s="5" t="s">
        <v>30</v>
      </c>
      <c r="B22" s="7" t="n">
        <v>3330</v>
      </c>
    </row>
    <row r="23" customFormat="false" ht="15" hidden="false" customHeight="true" outlineLevel="0" collapsed="false">
      <c r="A23" s="5" t="s">
        <v>31</v>
      </c>
      <c r="B23" s="7" t="n">
        <v>3972</v>
      </c>
    </row>
    <row r="24" customFormat="false" ht="15" hidden="false" customHeight="true" outlineLevel="0" collapsed="false">
      <c r="A24" s="5" t="s">
        <v>32</v>
      </c>
      <c r="B24" s="7" t="n">
        <v>5200</v>
      </c>
    </row>
    <row r="25" customFormat="false" ht="15" hidden="false" customHeight="true" outlineLevel="0" collapsed="false">
      <c r="A25" s="5" t="s">
        <v>33</v>
      </c>
      <c r="B25" s="6" t="n">
        <v>67</v>
      </c>
    </row>
    <row r="26" customFormat="false" ht="15" hidden="false" customHeight="true" outlineLevel="0" collapsed="false">
      <c r="A26" s="5" t="s">
        <v>34</v>
      </c>
      <c r="B26" s="6" t="n">
        <v>65</v>
      </c>
    </row>
    <row r="28" customFormat="false" ht="21.75" hidden="false" customHeight="true" outlineLevel="0" collapsed="false">
      <c r="A28" s="4" t="s">
        <v>35</v>
      </c>
      <c r="B28" s="4"/>
      <c r="C28" s="4"/>
      <c r="D28" s="4"/>
      <c r="E28" s="4"/>
    </row>
    <row r="29" customFormat="false" ht="15" hidden="false" customHeight="true" outlineLevel="0" collapsed="false">
      <c r="A29" s="5" t="s">
        <v>36</v>
      </c>
      <c r="B29" s="7" t="n">
        <v>7000</v>
      </c>
    </row>
    <row r="30" customFormat="false" ht="15" hidden="false" customHeight="true" outlineLevel="0" collapsed="false">
      <c r="A30" s="5" t="s">
        <v>37</v>
      </c>
      <c r="B30" s="7" t="n">
        <v>3000</v>
      </c>
    </row>
    <row r="31" customFormat="false" ht="15" hidden="false" customHeight="true" outlineLevel="0" collapsed="false">
      <c r="A31" s="5" t="s">
        <v>38</v>
      </c>
      <c r="B31" s="7" t="n">
        <v>15000</v>
      </c>
    </row>
    <row r="32" customFormat="false" ht="15" hidden="false" customHeight="true" outlineLevel="0" collapsed="false">
      <c r="A32" s="5" t="s">
        <v>39</v>
      </c>
      <c r="B32" s="7" t="n">
        <v>1500</v>
      </c>
    </row>
    <row r="33" customFormat="false" ht="15" hidden="false" customHeight="true" outlineLevel="0" collapsed="false">
      <c r="A33" s="5" t="s">
        <v>40</v>
      </c>
      <c r="B33" s="7" t="n">
        <v>185</v>
      </c>
    </row>
    <row r="34" customFormat="false" ht="15" hidden="false" customHeight="true" outlineLevel="0" collapsed="false">
      <c r="A34" s="5" t="s">
        <v>41</v>
      </c>
      <c r="B34" s="8" t="n">
        <v>0.05</v>
      </c>
    </row>
    <row r="35" customFormat="false" ht="15" hidden="false" customHeight="true" outlineLevel="0" collapsed="false">
      <c r="A35" s="5" t="s">
        <v>42</v>
      </c>
      <c r="B35" s="7" t="n">
        <v>800</v>
      </c>
    </row>
    <row r="36" customFormat="false" ht="15" hidden="false" customHeight="true" outlineLevel="0" collapsed="false">
      <c r="A36" s="5" t="s">
        <v>43</v>
      </c>
      <c r="B36" s="7" t="n">
        <v>800000</v>
      </c>
    </row>
    <row r="37" customFormat="false" ht="15" hidden="false" customHeight="true" outlineLevel="0" collapsed="false">
      <c r="A37" s="5" t="s">
        <v>44</v>
      </c>
      <c r="B37" s="7" t="n">
        <v>0</v>
      </c>
    </row>
    <row r="38" customFormat="false" ht="15" hidden="false" customHeight="true" outlineLevel="0" collapsed="false">
      <c r="A38" s="5" t="s">
        <v>45</v>
      </c>
      <c r="B38" s="6" t="n">
        <v>70</v>
      </c>
    </row>
    <row r="40" customFormat="false" ht="21.75" hidden="false" customHeight="true" outlineLevel="0" collapsed="false">
      <c r="A40" s="4" t="s">
        <v>46</v>
      </c>
      <c r="B40" s="4"/>
      <c r="C40" s="4"/>
      <c r="D40" s="4"/>
      <c r="E40" s="4"/>
    </row>
    <row r="41" customFormat="false" ht="15" hidden="false" customHeight="true" outlineLevel="0" collapsed="false">
      <c r="A41" s="5" t="s">
        <v>47</v>
      </c>
      <c r="B41" s="7" t="n">
        <v>201050</v>
      </c>
    </row>
    <row r="42" customFormat="false" ht="15" hidden="false" customHeight="true" outlineLevel="0" collapsed="false">
      <c r="A42" s="5" t="s">
        <v>48</v>
      </c>
      <c r="B42" s="7" t="n">
        <v>30000</v>
      </c>
    </row>
    <row r="43" customFormat="false" ht="15" hidden="false" customHeight="true" outlineLevel="0" collapsed="false">
      <c r="A43" s="5" t="s">
        <v>49</v>
      </c>
      <c r="B43" s="8" t="n">
        <v>0.85</v>
      </c>
    </row>
    <row r="44" customFormat="false" ht="15" hidden="false" customHeight="true" outlineLevel="0" collapsed="false">
      <c r="A44" s="5" t="s">
        <v>50</v>
      </c>
      <c r="B44" s="6" t="n">
        <v>73</v>
      </c>
    </row>
    <row r="45" customFormat="false" ht="15" hidden="false" customHeight="true" outlineLevel="0" collapsed="false">
      <c r="A45" s="5" t="s">
        <v>51</v>
      </c>
      <c r="B45" s="8" t="n">
        <v>0.15</v>
      </c>
    </row>
    <row r="47" customFormat="false" ht="15" hidden="false" customHeight="true" outlineLevel="0" collapsed="false">
      <c r="A47" s="9" t="s">
        <v>52</v>
      </c>
      <c r="B47" s="10"/>
      <c r="C47" s="10"/>
      <c r="D47" s="10"/>
      <c r="E47" s="10"/>
    </row>
    <row r="48" customFormat="false" ht="15" hidden="false" customHeight="true" outlineLevel="0" collapsed="false">
      <c r="A48" s="11" t="s">
        <v>53</v>
      </c>
      <c r="B48" s="12" t="n">
        <v>22</v>
      </c>
    </row>
    <row r="49" customFormat="false" ht="15" hidden="false" customHeight="true" outlineLevel="0" collapsed="false">
      <c r="A49" s="11" t="s">
        <v>54</v>
      </c>
      <c r="B49" s="12" t="n">
        <v>0.065</v>
      </c>
    </row>
    <row r="50" customFormat="false" ht="15" hidden="false" customHeight="true" outlineLevel="0" collapsed="false">
      <c r="A50" s="11" t="s">
        <v>55</v>
      </c>
      <c r="B50" s="13" t="n">
        <f aca="false">IFERROR(IF(B49&gt;0,ROUND(MAX(0,B30*(1-POWER(1+B49/12,-MAX(0,B48*12-(B5-B4)*12)))/(B49/12)),0),B30*MAX(0,B48*12-(B5-B4)*12)),0)</f>
        <v>315394</v>
      </c>
    </row>
    <row r="51" customFormat="false" ht="15" hidden="false" customHeight="true" outlineLevel="0" collapsed="false">
      <c r="A51" s="11" t="s">
        <v>56</v>
      </c>
      <c r="B51" s="12" t="n">
        <v>0</v>
      </c>
    </row>
    <row r="52" customFormat="false" ht="15" hidden="false" customHeight="true" outlineLevel="0" collapsed="false">
      <c r="A52" s="11" t="s">
        <v>57</v>
      </c>
      <c r="B52" s="14" t="n">
        <v>0.045</v>
      </c>
    </row>
    <row r="53" customFormat="false" ht="15" hidden="false" customHeight="true" outlineLevel="0" collapsed="false">
      <c r="A53" s="15" t="s">
        <v>58</v>
      </c>
    </row>
  </sheetData>
  <mergeCells count="7">
    <mergeCell ref="A1:E1"/>
    <mergeCell ref="A2:E2"/>
    <mergeCell ref="A3:B3"/>
    <mergeCell ref="D3:E3"/>
    <mergeCell ref="A18:E18"/>
    <mergeCell ref="A28:E28"/>
    <mergeCell ref="A40:E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6" min="5" style="1" width="15"/>
    <col collapsed="false" customWidth="true" hidden="false" outlineLevel="0" max="7" min="7" style="1" width="13"/>
    <col collapsed="false" customWidth="true" hidden="false" outlineLevel="0" max="8" min="8" style="1" width="11"/>
    <col collapsed="false" customWidth="true" hidden="false" outlineLevel="0" max="9" min="9" style="1" width="22"/>
    <col collapsed="false" customWidth="true" hidden="false" outlineLevel="0" max="10" min="10" style="1" width="16"/>
  </cols>
  <sheetData>
    <row r="1" customFormat="false" ht="30" hidden="false" customHeight="true" outlineLevel="0" collapsed="false">
      <c r="A1" s="16" t="s">
        <v>59</v>
      </c>
      <c r="B1" s="16"/>
      <c r="C1" s="16"/>
      <c r="D1" s="16"/>
      <c r="E1" s="16"/>
      <c r="F1" s="16"/>
      <c r="G1" s="16"/>
      <c r="H1" s="16"/>
      <c r="I1" s="16"/>
      <c r="J1" s="16"/>
    </row>
    <row r="2" customFormat="false" ht="42" hidden="false" customHeight="true" outlineLevel="0" collapsed="false">
      <c r="A2" s="17" t="s">
        <v>60</v>
      </c>
      <c r="B2" s="17" t="s">
        <v>61</v>
      </c>
      <c r="C2" s="17" t="s">
        <v>62</v>
      </c>
      <c r="D2" s="17" t="s">
        <v>63</v>
      </c>
      <c r="E2" s="17" t="s">
        <v>64</v>
      </c>
      <c r="F2" s="17" t="s">
        <v>65</v>
      </c>
      <c r="G2" s="17" t="s">
        <v>66</v>
      </c>
      <c r="H2" s="17" t="s">
        <v>67</v>
      </c>
      <c r="I2" s="17" t="s">
        <v>68</v>
      </c>
      <c r="J2" s="17" t="s">
        <v>69</v>
      </c>
    </row>
    <row r="3" customFormat="false" ht="15" hidden="false" customHeight="true" outlineLevel="0" collapsed="false">
      <c r="A3" s="18" t="n">
        <v>65</v>
      </c>
      <c r="B3" s="19" t="n">
        <f aca="false">Inputs!B9</f>
        <v>3000000</v>
      </c>
      <c r="C3" s="19" t="n">
        <f aca="false">IF(65&gt;=Inputs!B25,IF(Inputs!B25=65,Inputs!B22*12,IF(Inputs!B25=70,Inputs!B24*12,Inputs!B23*12))*(1+Inputs!B21)^MAX(0,65-Inputs!B25),0)</f>
        <v>0</v>
      </c>
      <c r="D3" s="19" t="n">
        <f aca="false">C3*Inputs!B43</f>
        <v>0</v>
      </c>
      <c r="E3" s="19" t="n">
        <f aca="false">MAX(0,Inputs!B41-D3-Inputs!B42)</f>
        <v>171050</v>
      </c>
      <c r="F3" s="19" t="n">
        <f aca="false">D3+E3</f>
        <v>171050</v>
      </c>
      <c r="G3" s="19" t="n">
        <f aca="false">MAX(0,IF(F3&lt;=23200,F3*0.1,IF(F3&lt;=94300,23200*0.1+(F3-23200)*0.12,IF(F3&lt;=201050,23200*0.1+71100*0.12+(F3-94300)*0.22,IF(F3&lt;=383900,23200*0.1+71100*0.12+106750*0.22+(F3-201050)*0.24,23200*0.1+71100*0.12+106750*0.22+182850*0.24+(F3-383900)*0.32)))))</f>
        <v>27737</v>
      </c>
      <c r="H3" s="20" t="n">
        <f aca="false">IFERROR(G3/F3,0)</f>
        <v>0.162157263957907</v>
      </c>
      <c r="I3" s="21" t="str">
        <f aca="false">IF(F3&lt;=206000,"Tier 0 — $0/yr",IF(F3&lt;=258000,"Tier 1 — $594/yr",IF(F3&lt;=322000,"Tier 2 — $1,494/yr",IF(F3&lt;=386000,"Tier 3 — $2,394/yr",IF(F3&lt;=750000,"Tier 4 — $3,270/yr","Tier 5 — $3,564/yr")))))</f>
        <v>Tier 0 — $0/yr</v>
      </c>
      <c r="J3" s="19" t="n">
        <f aca="false">MAX(0,B3-E3)</f>
        <v>2828950</v>
      </c>
    </row>
    <row r="4" customFormat="false" ht="15" hidden="false" customHeight="true" outlineLevel="0" collapsed="false">
      <c r="A4" s="18" t="n">
        <v>66</v>
      </c>
      <c r="B4" s="22" t="n">
        <f aca="false">J3</f>
        <v>2828950</v>
      </c>
      <c r="C4" s="22" t="n">
        <f aca="false">IF(66&gt;=Inputs!B25,IF(Inputs!B25=65,Inputs!B22*12,IF(Inputs!B25=70,Inputs!B24*12,Inputs!B23*12))*(1+Inputs!B21)^MAX(0,66-Inputs!B25),0)</f>
        <v>0</v>
      </c>
      <c r="D4" s="22" t="n">
        <f aca="false">C4*Inputs!B43</f>
        <v>0</v>
      </c>
      <c r="E4" s="22" t="n">
        <f aca="false">MAX(0,Inputs!B41-D4-Inputs!B42)</f>
        <v>171050</v>
      </c>
      <c r="F4" s="22" t="n">
        <f aca="false">D4+E4</f>
        <v>171050</v>
      </c>
      <c r="G4" s="22" t="n">
        <f aca="false">MAX(0,IF(F4&lt;=23200,F4*0.1,IF(F4&lt;=94300,23200*0.1+(F4-23200)*0.12,IF(F4&lt;=201050,23200*0.1+71100*0.12+(F4-94300)*0.22,IF(F4&lt;=383900,23200*0.1+71100*0.12+106750*0.22+(F4-201050)*0.24,23200*0.1+71100*0.12+106750*0.22+182850*0.24+(F4-383900)*0.32)))))</f>
        <v>27737</v>
      </c>
      <c r="H4" s="23" t="n">
        <f aca="false">IFERROR(G4/F4,0)</f>
        <v>0.162157263957907</v>
      </c>
      <c r="I4" s="24" t="str">
        <f aca="false">IF(F4&lt;=206000,"Tier 0 — $0/yr",IF(F4&lt;=258000,"Tier 1 — $594/yr",IF(F4&lt;=322000,"Tier 2 — $1,494/yr",IF(F4&lt;=386000,"Tier 3 — $2,394/yr",IF(F4&lt;=750000,"Tier 4 — $3,270/yr","Tier 5 — $3,564/yr")))))</f>
        <v>Tier 0 — $0/yr</v>
      </c>
      <c r="J4" s="22" t="n">
        <f aca="false">MAX(0,B4-E4)</f>
        <v>2657900</v>
      </c>
    </row>
    <row r="5" customFormat="false" ht="15" hidden="false" customHeight="true" outlineLevel="0" collapsed="false">
      <c r="A5" s="18" t="n">
        <v>67</v>
      </c>
      <c r="B5" s="19" t="n">
        <f aca="false">J4</f>
        <v>2657900</v>
      </c>
      <c r="C5" s="19" t="n">
        <f aca="false">IF(67&gt;=Inputs!B25,IF(Inputs!B25=65,Inputs!B22*12,IF(Inputs!B25=70,Inputs!B24*12,Inputs!B23*12))*(1+Inputs!B21)^MAX(0,67-Inputs!B25),0)</f>
        <v>47664</v>
      </c>
      <c r="D5" s="19" t="n">
        <f aca="false">C5*Inputs!B43</f>
        <v>40514.4</v>
      </c>
      <c r="E5" s="19" t="n">
        <f aca="false">MAX(0,Inputs!B41-D5-Inputs!B42)</f>
        <v>130535.6</v>
      </c>
      <c r="F5" s="19" t="n">
        <f aca="false">D5+E5</f>
        <v>171050</v>
      </c>
      <c r="G5" s="19" t="n">
        <f aca="false">MAX(0,IF(F5&lt;=23200,F5*0.1,IF(F5&lt;=94300,23200*0.1+(F5-23200)*0.12,IF(F5&lt;=201050,23200*0.1+71100*0.12+(F5-94300)*0.22,IF(F5&lt;=383900,23200*0.1+71100*0.12+106750*0.22+(F5-201050)*0.24,23200*0.1+71100*0.12+106750*0.22+182850*0.24+(F5-383900)*0.32)))))</f>
        <v>27737</v>
      </c>
      <c r="H5" s="20" t="n">
        <f aca="false">IFERROR(G5/F5,0)</f>
        <v>0.162157263957907</v>
      </c>
      <c r="I5" s="21" t="str">
        <f aca="false">IF(F5&lt;=206000,"Tier 0 — $0/yr",IF(F5&lt;=258000,"Tier 1 — $594/yr",IF(F5&lt;=322000,"Tier 2 — $1,494/yr",IF(F5&lt;=386000,"Tier 3 — $2,394/yr",IF(F5&lt;=750000,"Tier 4 — $3,270/yr","Tier 5 — $3,564/yr")))))</f>
        <v>Tier 0 — $0/yr</v>
      </c>
      <c r="J5" s="19" t="n">
        <f aca="false">MAX(0,B5-E5)</f>
        <v>2527364.4</v>
      </c>
    </row>
    <row r="6" customFormat="false" ht="15" hidden="false" customHeight="true" outlineLevel="0" collapsed="false">
      <c r="A6" s="18" t="n">
        <v>68</v>
      </c>
      <c r="B6" s="22" t="n">
        <f aca="false">J5</f>
        <v>2527364.4</v>
      </c>
      <c r="C6" s="22" t="n">
        <f aca="false">IF(68&gt;=Inputs!B25,IF(Inputs!B25=65,Inputs!B22*12,IF(Inputs!B25=70,Inputs!B24*12,Inputs!B23*12))*(1+Inputs!B21)^MAX(0,68-Inputs!B25),0)</f>
        <v>48855.6</v>
      </c>
      <c r="D6" s="22" t="n">
        <f aca="false">C6*Inputs!B43</f>
        <v>41527.26</v>
      </c>
      <c r="E6" s="22" t="n">
        <f aca="false">MAX(0,Inputs!B41-D6-Inputs!B42)</f>
        <v>129522.74</v>
      </c>
      <c r="F6" s="22" t="n">
        <f aca="false">D6+E6</f>
        <v>171050</v>
      </c>
      <c r="G6" s="22" t="n">
        <f aca="false">MAX(0,IF(F6&lt;=23200,F6*0.1,IF(F6&lt;=94300,23200*0.1+(F6-23200)*0.12,IF(F6&lt;=201050,23200*0.1+71100*0.12+(F6-94300)*0.22,IF(F6&lt;=383900,23200*0.1+71100*0.12+106750*0.22+(F6-201050)*0.24,23200*0.1+71100*0.12+106750*0.22+182850*0.24+(F6-383900)*0.32)))))</f>
        <v>27737</v>
      </c>
      <c r="H6" s="23" t="n">
        <f aca="false">IFERROR(G6/F6,0)</f>
        <v>0.162157263957907</v>
      </c>
      <c r="I6" s="24" t="str">
        <f aca="false">IF(F6&lt;=206000,"Tier 0 — $0/yr",IF(F6&lt;=258000,"Tier 1 — $594/yr",IF(F6&lt;=322000,"Tier 2 — $1,494/yr",IF(F6&lt;=386000,"Tier 3 — $2,394/yr",IF(F6&lt;=750000,"Tier 4 — $3,270/yr","Tier 5 — $3,564/yr")))))</f>
        <v>Tier 0 — $0/yr</v>
      </c>
      <c r="J6" s="22" t="n">
        <f aca="false">MAX(0,B6-E6)</f>
        <v>2397841.66</v>
      </c>
    </row>
    <row r="7" customFormat="false" ht="15" hidden="false" customHeight="true" outlineLevel="0" collapsed="false">
      <c r="A7" s="18" t="n">
        <v>69</v>
      </c>
      <c r="B7" s="19" t="n">
        <f aca="false">J6</f>
        <v>2397841.66</v>
      </c>
      <c r="C7" s="19" t="n">
        <f aca="false">IF(69&gt;=Inputs!B25,IF(Inputs!B25=65,Inputs!B22*12,IF(Inputs!B25=70,Inputs!B24*12,Inputs!B23*12))*(1+Inputs!B21)^MAX(0,69-Inputs!B25),0)</f>
        <v>50076.99</v>
      </c>
      <c r="D7" s="19" t="n">
        <f aca="false">C7*Inputs!B43</f>
        <v>42565.4415</v>
      </c>
      <c r="E7" s="19" t="n">
        <f aca="false">MAX(0,Inputs!B41-D7-Inputs!B42)</f>
        <v>128484.5585</v>
      </c>
      <c r="F7" s="19" t="n">
        <f aca="false">D7+E7</f>
        <v>171050</v>
      </c>
      <c r="G7" s="19" t="n">
        <f aca="false">MAX(0,IF(F7&lt;=23200,F7*0.1,IF(F7&lt;=94300,23200*0.1+(F7-23200)*0.12,IF(F7&lt;=201050,23200*0.1+71100*0.12+(F7-94300)*0.22,IF(F7&lt;=383900,23200*0.1+71100*0.12+106750*0.22+(F7-201050)*0.24,23200*0.1+71100*0.12+106750*0.22+182850*0.24+(F7-383900)*0.32)))))</f>
        <v>27737</v>
      </c>
      <c r="H7" s="20" t="n">
        <f aca="false">IFERROR(G7/F7,0)</f>
        <v>0.162157263957907</v>
      </c>
      <c r="I7" s="21" t="str">
        <f aca="false">IF(F7&lt;=206000,"Tier 0 — $0/yr",IF(F7&lt;=258000,"Tier 1 — $594/yr",IF(F7&lt;=322000,"Tier 2 — $1,494/yr",IF(F7&lt;=386000,"Tier 3 — $2,394/yr",IF(F7&lt;=750000,"Tier 4 — $3,270/yr","Tier 5 — $3,564/yr")))))</f>
        <v>Tier 0 — $0/yr</v>
      </c>
      <c r="J7" s="19" t="n">
        <f aca="false">MAX(0,B7-E7)</f>
        <v>2269357.1015</v>
      </c>
    </row>
    <row r="8" customFormat="false" ht="15" hidden="false" customHeight="true" outlineLevel="0" collapsed="false">
      <c r="A8" s="18" t="n">
        <v>70</v>
      </c>
      <c r="B8" s="22" t="n">
        <f aca="false">J7</f>
        <v>2269357.1015</v>
      </c>
      <c r="C8" s="22" t="n">
        <f aca="false">IF(70&gt;=Inputs!B25,IF(Inputs!B25=65,Inputs!B22*12,IF(Inputs!B25=70,Inputs!B24*12,Inputs!B23*12))*(1+Inputs!B21)^MAX(0,70-Inputs!B25),0)</f>
        <v>51328.91475</v>
      </c>
      <c r="D8" s="22" t="n">
        <f aca="false">C8*Inputs!B43</f>
        <v>43629.5775375</v>
      </c>
      <c r="E8" s="22" t="n">
        <f aca="false">MAX(0,Inputs!B41-D8-Inputs!B42)</f>
        <v>127420.4224625</v>
      </c>
      <c r="F8" s="22" t="n">
        <f aca="false">D8+E8</f>
        <v>171050</v>
      </c>
      <c r="G8" s="22" t="n">
        <f aca="false">MAX(0,IF(F8&lt;=23200,F8*0.1,IF(F8&lt;=94300,23200*0.1+(F8-23200)*0.12,IF(F8&lt;=201050,23200*0.1+71100*0.12+(F8-94300)*0.22,IF(F8&lt;=383900,23200*0.1+71100*0.12+106750*0.22+(F8-201050)*0.24,23200*0.1+71100*0.12+106750*0.22+182850*0.24+(F8-383900)*0.32)))))</f>
        <v>27737</v>
      </c>
      <c r="H8" s="23" t="n">
        <f aca="false">IFERROR(G8/F8,0)</f>
        <v>0.162157263957907</v>
      </c>
      <c r="I8" s="24" t="str">
        <f aca="false">IF(F8&lt;=206000,"Tier 0 — $0/yr",IF(F8&lt;=258000,"Tier 1 — $594/yr",IF(F8&lt;=322000,"Tier 2 — $1,494/yr",IF(F8&lt;=386000,"Tier 3 — $2,394/yr",IF(F8&lt;=750000,"Tier 4 — $3,270/yr","Tier 5 — $3,564/yr")))))</f>
        <v>Tier 0 — $0/yr</v>
      </c>
      <c r="J8" s="22" t="n">
        <f aca="false">MAX(0,B8-E8)</f>
        <v>2141936.6790375</v>
      </c>
    </row>
    <row r="9" customFormat="false" ht="15" hidden="false" customHeight="true" outlineLevel="0" collapsed="false">
      <c r="A9" s="18" t="n">
        <v>71</v>
      </c>
      <c r="B9" s="19" t="n">
        <f aca="false">J8</f>
        <v>2141936.6790375</v>
      </c>
      <c r="C9" s="19" t="n">
        <f aca="false">IF(71&gt;=Inputs!B25,IF(Inputs!B25=65,Inputs!B22*12,IF(Inputs!B25=70,Inputs!B24*12,Inputs!B23*12))*(1+Inputs!B21)^MAX(0,71-Inputs!B25),0)</f>
        <v>52612.13761875</v>
      </c>
      <c r="D9" s="19" t="n">
        <f aca="false">C9*Inputs!B43</f>
        <v>44720.3169759375</v>
      </c>
      <c r="E9" s="19" t="n">
        <f aca="false">MAX(0,Inputs!B41-D9-Inputs!B42)</f>
        <v>126329.683024063</v>
      </c>
      <c r="F9" s="19" t="n">
        <f aca="false">D9+E9</f>
        <v>171050</v>
      </c>
      <c r="G9" s="19" t="n">
        <f aca="false">MAX(0,IF(F9&lt;=23200,F9*0.1,IF(F9&lt;=94300,23200*0.1+(F9-23200)*0.12,IF(F9&lt;=201050,23200*0.1+71100*0.12+(F9-94300)*0.22,IF(F9&lt;=383900,23200*0.1+71100*0.12+106750*0.22+(F9-201050)*0.24,23200*0.1+71100*0.12+106750*0.22+182850*0.24+(F9-383900)*0.32)))))</f>
        <v>27737</v>
      </c>
      <c r="H9" s="20" t="n">
        <f aca="false">IFERROR(G9/F9,0)</f>
        <v>0.162157263957907</v>
      </c>
      <c r="I9" s="21" t="str">
        <f aca="false">IF(F9&lt;=206000,"Tier 0 — $0/yr",IF(F9&lt;=258000,"Tier 1 — $594/yr",IF(F9&lt;=322000,"Tier 2 — $1,494/yr",IF(F9&lt;=386000,"Tier 3 — $2,394/yr",IF(F9&lt;=750000,"Tier 4 — $3,270/yr","Tier 5 — $3,564/yr")))))</f>
        <v>Tier 0 — $0/yr</v>
      </c>
      <c r="J9" s="19" t="n">
        <f aca="false">MAX(0,B9-E9)</f>
        <v>2015606.99601344</v>
      </c>
    </row>
    <row r="10" customFormat="false" ht="15" hidden="false" customHeight="true" outlineLevel="0" collapsed="false">
      <c r="A10" s="18" t="n">
        <v>72</v>
      </c>
      <c r="B10" s="22" t="n">
        <f aca="false">J9</f>
        <v>2015606.99601344</v>
      </c>
      <c r="C10" s="22" t="n">
        <f aca="false">IF(72&gt;=Inputs!B25,IF(Inputs!B25=65,Inputs!B22*12,IF(Inputs!B25=70,Inputs!B24*12,Inputs!B23*12))*(1+Inputs!B21)^MAX(0,72-Inputs!B25),0)</f>
        <v>53927.4410592187</v>
      </c>
      <c r="D10" s="22" t="n">
        <f aca="false">C10*Inputs!B43</f>
        <v>45838.3249003359</v>
      </c>
      <c r="E10" s="22" t="n">
        <f aca="false">MAX(0,Inputs!B41-D10-Inputs!B42)</f>
        <v>125211.675099664</v>
      </c>
      <c r="F10" s="22" t="n">
        <f aca="false">D10+E10</f>
        <v>171050</v>
      </c>
      <c r="G10" s="22" t="n">
        <f aca="false">MAX(0,IF(F10&lt;=23200,F10*0.1,IF(F10&lt;=94300,23200*0.1+(F10-23200)*0.12,IF(F10&lt;=201050,23200*0.1+71100*0.12+(F10-94300)*0.22,IF(F10&lt;=383900,23200*0.1+71100*0.12+106750*0.22+(F10-201050)*0.24,23200*0.1+71100*0.12+106750*0.22+182850*0.24+(F10-383900)*0.32)))))</f>
        <v>27737</v>
      </c>
      <c r="H10" s="23" t="n">
        <f aca="false">IFERROR(G10/F10,0)</f>
        <v>0.162157263957907</v>
      </c>
      <c r="I10" s="24" t="str">
        <f aca="false">IF(F10&lt;=206000,"Tier 0 — $0/yr",IF(F10&lt;=258000,"Tier 1 — $594/yr",IF(F10&lt;=322000,"Tier 2 — $1,494/yr",IF(F10&lt;=386000,"Tier 3 — $2,394/yr",IF(F10&lt;=750000,"Tier 4 — $3,270/yr","Tier 5 — $3,564/yr")))))</f>
        <v>Tier 0 — $0/yr</v>
      </c>
      <c r="J10" s="22" t="n">
        <f aca="false">MAX(0,B10-E10)</f>
        <v>1890395.32091377</v>
      </c>
    </row>
    <row r="11" customFormat="false" ht="15" hidden="false" customHeight="true" outlineLevel="0" collapsed="false">
      <c r="A11" s="18" t="n">
        <v>73</v>
      </c>
      <c r="B11" s="25" t="n">
        <f aca="false">J10</f>
        <v>1890395.32091377</v>
      </c>
      <c r="C11" s="25" t="n">
        <f aca="false">IF(73&gt;=Inputs!B25,IF(Inputs!B25=65,Inputs!B22*12,IF(Inputs!B25=70,Inputs!B24*12,Inputs!B23*12))*(1+Inputs!B21)^MAX(0,73-Inputs!B25),0)</f>
        <v>55275.6270856992</v>
      </c>
      <c r="D11" s="25" t="n">
        <f aca="false">C11*Inputs!B43</f>
        <v>46984.2830228443</v>
      </c>
      <c r="E11" s="25" t="n">
        <f aca="false">MAX(0,Inputs!B41-D11-Inputs!B42)</f>
        <v>124065.716977156</v>
      </c>
      <c r="F11" s="25" t="n">
        <f aca="false">D11+E11</f>
        <v>171050</v>
      </c>
      <c r="G11" s="25" t="n">
        <f aca="false">MAX(0,IF(F11&lt;=23200,F11*0.1,IF(F11&lt;=94300,23200*0.1+(F11-23200)*0.12,IF(F11&lt;=201050,23200*0.1+71100*0.12+(F11-94300)*0.22,IF(F11&lt;=383900,23200*0.1+71100*0.12+106750*0.22+(F11-201050)*0.24,23200*0.1+71100*0.12+106750*0.22+182850*0.24+(F11-383900)*0.32)))))</f>
        <v>27737</v>
      </c>
      <c r="H11" s="26" t="n">
        <f aca="false">IFERROR(G11/F11,0)</f>
        <v>0.162157263957907</v>
      </c>
      <c r="I11" s="27" t="str">
        <f aca="false">IF(F11&lt;=206000,"Tier 0 — $0/yr",IF(F11&lt;=258000,"Tier 1 — $594/yr",IF(F11&lt;=322000,"Tier 2 — $1,494/yr",IF(F11&lt;=386000,"Tier 3 — $2,394/yr",IF(F11&lt;=750000,"Tier 4 — $3,270/yr","Tier 5 — $3,564/yr")))))</f>
        <v>Tier 0 — $0/yr</v>
      </c>
      <c r="J11" s="25" t="n">
        <f aca="false">MAX(0,B11-E11)</f>
        <v>1766329.60393662</v>
      </c>
    </row>
    <row r="12" customFormat="false" ht="15" hidden="false" customHeight="true" outlineLevel="0" collapsed="false">
      <c r="A12" s="18" t="n">
        <v>74</v>
      </c>
      <c r="B12" s="25" t="n">
        <f aca="false">J11</f>
        <v>1766329.60393662</v>
      </c>
      <c r="C12" s="25" t="n">
        <f aca="false">IF(74&gt;=Inputs!B25,IF(Inputs!B25=65,Inputs!B22*12,IF(Inputs!B25=70,Inputs!B24*12,Inputs!B23*12))*(1+Inputs!B21)^MAX(0,74-Inputs!B25),0)</f>
        <v>56657.5177628417</v>
      </c>
      <c r="D12" s="25" t="n">
        <f aca="false">C12*Inputs!B43</f>
        <v>48158.8900984154</v>
      </c>
      <c r="E12" s="25" t="n">
        <f aca="false">MAX(0,Inputs!B41-D12-Inputs!B42)</f>
        <v>122891.109901585</v>
      </c>
      <c r="F12" s="25" t="n">
        <f aca="false">D12+E12</f>
        <v>171050</v>
      </c>
      <c r="G12" s="25" t="n">
        <f aca="false">MAX(0,IF(F12&lt;=23200,F12*0.1,IF(F12&lt;=94300,23200*0.1+(F12-23200)*0.12,IF(F12&lt;=201050,23200*0.1+71100*0.12+(F12-94300)*0.22,IF(F12&lt;=383900,23200*0.1+71100*0.12+106750*0.22+(F12-201050)*0.24,23200*0.1+71100*0.12+106750*0.22+182850*0.24+(F12-383900)*0.32)))))</f>
        <v>27737</v>
      </c>
      <c r="H12" s="26" t="n">
        <f aca="false">IFERROR(G12/F12,0)</f>
        <v>0.162157263957907</v>
      </c>
      <c r="I12" s="27" t="str">
        <f aca="false">IF(F12&lt;=206000,"Tier 0 — $0/yr",IF(F12&lt;=258000,"Tier 1 — $594/yr",IF(F12&lt;=322000,"Tier 2 — $1,494/yr",IF(F12&lt;=386000,"Tier 3 — $2,394/yr",IF(F12&lt;=750000,"Tier 4 — $3,270/yr","Tier 5 — $3,564/yr")))))</f>
        <v>Tier 0 — $0/yr</v>
      </c>
      <c r="J12" s="25" t="n">
        <f aca="false">MAX(0,B12-E12)</f>
        <v>1643438.49403503</v>
      </c>
    </row>
    <row r="13" customFormat="false" ht="15" hidden="false" customHeight="true" outlineLevel="0" collapsed="false">
      <c r="A13" s="18" t="n">
        <v>75</v>
      </c>
      <c r="B13" s="25" t="n">
        <f aca="false">J12</f>
        <v>1643438.49403503</v>
      </c>
      <c r="C13" s="25" t="n">
        <f aca="false">IF(75&gt;=Inputs!B25,IF(Inputs!B25=65,Inputs!B22*12,IF(Inputs!B25=70,Inputs!B24*12,Inputs!B23*12))*(1+Inputs!B21)^MAX(0,75-Inputs!B25),0)</f>
        <v>58073.9557069127</v>
      </c>
      <c r="D13" s="25" t="n">
        <f aca="false">C13*Inputs!B43</f>
        <v>49362.8623508758</v>
      </c>
      <c r="E13" s="25" t="n">
        <f aca="false">MAX(0,Inputs!B41-D13-Inputs!B42)</f>
        <v>121687.137649124</v>
      </c>
      <c r="F13" s="25" t="n">
        <f aca="false">D13+E13</f>
        <v>171050</v>
      </c>
      <c r="G13" s="25" t="n">
        <f aca="false">MAX(0,IF(F13&lt;=23200,F13*0.1,IF(F13&lt;=94300,23200*0.1+(F13-23200)*0.12,IF(F13&lt;=201050,23200*0.1+71100*0.12+(F13-94300)*0.22,IF(F13&lt;=383900,23200*0.1+71100*0.12+106750*0.22+(F13-201050)*0.24,23200*0.1+71100*0.12+106750*0.22+182850*0.24+(F13-383900)*0.32)))))</f>
        <v>27737</v>
      </c>
      <c r="H13" s="26" t="n">
        <f aca="false">IFERROR(G13/F13,0)</f>
        <v>0.162157263957907</v>
      </c>
      <c r="I13" s="27" t="str">
        <f aca="false">IF(F13&lt;=206000,"Tier 0 — $0/yr",IF(F13&lt;=258000,"Tier 1 — $594/yr",IF(F13&lt;=322000,"Tier 2 — $1,494/yr",IF(F13&lt;=386000,"Tier 3 — $2,394/yr",IF(F13&lt;=750000,"Tier 4 — $3,270/yr","Tier 5 — $3,564/yr")))))</f>
        <v>Tier 0 — $0/yr</v>
      </c>
      <c r="J13" s="25" t="n">
        <f aca="false">MAX(0,B13-E13)</f>
        <v>1521751.35638591</v>
      </c>
    </row>
    <row r="14" customFormat="false" ht="15" hidden="false" customHeight="true" outlineLevel="0" collapsed="false">
      <c r="A14" s="18" t="n">
        <v>76</v>
      </c>
      <c r="B14" s="25" t="n">
        <f aca="false">J13</f>
        <v>1521751.35638591</v>
      </c>
      <c r="C14" s="25" t="n">
        <f aca="false">IF(76&gt;=Inputs!B25,IF(Inputs!B25=65,Inputs!B22*12,IF(Inputs!B25=70,Inputs!B24*12,Inputs!B23*12))*(1+Inputs!B21)^MAX(0,76-Inputs!B25),0)</f>
        <v>59525.8045995855</v>
      </c>
      <c r="D14" s="25" t="n">
        <f aca="false">C14*Inputs!B43</f>
        <v>50596.9339096477</v>
      </c>
      <c r="E14" s="25" t="n">
        <f aca="false">MAX(0,Inputs!B41-D14-Inputs!B42)</f>
        <v>120453.066090352</v>
      </c>
      <c r="F14" s="25" t="n">
        <f aca="false">D14+E14</f>
        <v>171050</v>
      </c>
      <c r="G14" s="25" t="n">
        <f aca="false">MAX(0,IF(F14&lt;=23200,F14*0.1,IF(F14&lt;=94300,23200*0.1+(F14-23200)*0.12,IF(F14&lt;=201050,23200*0.1+71100*0.12+(F14-94300)*0.22,IF(F14&lt;=383900,23200*0.1+71100*0.12+106750*0.22+(F14-201050)*0.24,23200*0.1+71100*0.12+106750*0.22+182850*0.24+(F14-383900)*0.32)))))</f>
        <v>27737</v>
      </c>
      <c r="H14" s="26" t="n">
        <f aca="false">IFERROR(G14/F14,0)</f>
        <v>0.162157263957907</v>
      </c>
      <c r="I14" s="27" t="str">
        <f aca="false">IF(F14&lt;=206000,"Tier 0 — $0/yr",IF(F14&lt;=258000,"Tier 1 — $594/yr",IF(F14&lt;=322000,"Tier 2 — $1,494/yr",IF(F14&lt;=386000,"Tier 3 — $2,394/yr",IF(F14&lt;=750000,"Tier 4 — $3,270/yr","Tier 5 — $3,564/yr")))))</f>
        <v>Tier 0 — $0/yr</v>
      </c>
      <c r="J14" s="25" t="n">
        <f aca="false">MAX(0,B14-E14)</f>
        <v>1401298.29029556</v>
      </c>
    </row>
    <row r="15" customFormat="false" ht="15" hidden="false" customHeight="true" outlineLevel="0" collapsed="false">
      <c r="A15" s="18" t="n">
        <v>77</v>
      </c>
      <c r="B15" s="25" t="n">
        <f aca="false">J14</f>
        <v>1401298.29029556</v>
      </c>
      <c r="C15" s="25" t="n">
        <f aca="false">IF(77&gt;=Inputs!B25,IF(Inputs!B25=65,Inputs!B22*12,IF(Inputs!B25=70,Inputs!B24*12,Inputs!B23*12))*(1+Inputs!B21)^MAX(0,77-Inputs!B25),0)</f>
        <v>61013.9497145751</v>
      </c>
      <c r="D15" s="25" t="n">
        <f aca="false">C15*Inputs!B43</f>
        <v>51861.8572573889</v>
      </c>
      <c r="E15" s="25" t="n">
        <f aca="false">MAX(0,Inputs!B41-D15-Inputs!B42)</f>
        <v>119188.142742611</v>
      </c>
      <c r="F15" s="25" t="n">
        <f aca="false">D15+E15</f>
        <v>171050</v>
      </c>
      <c r="G15" s="25" t="n">
        <f aca="false">MAX(0,IF(F15&lt;=23200,F15*0.1,IF(F15&lt;=94300,23200*0.1+(F15-23200)*0.12,IF(F15&lt;=201050,23200*0.1+71100*0.12+(F15-94300)*0.22,IF(F15&lt;=383900,23200*0.1+71100*0.12+106750*0.22+(F15-201050)*0.24,23200*0.1+71100*0.12+106750*0.22+182850*0.24+(F15-383900)*0.32)))))</f>
        <v>27737</v>
      </c>
      <c r="H15" s="26" t="n">
        <f aca="false">IFERROR(G15/F15,0)</f>
        <v>0.162157263957907</v>
      </c>
      <c r="I15" s="27" t="str">
        <f aca="false">IF(F15&lt;=206000,"Tier 0 — $0/yr",IF(F15&lt;=258000,"Tier 1 — $594/yr",IF(F15&lt;=322000,"Tier 2 — $1,494/yr",IF(F15&lt;=386000,"Tier 3 — $2,394/yr",IF(F15&lt;=750000,"Tier 4 — $3,270/yr","Tier 5 — $3,564/yr")))))</f>
        <v>Tier 0 — $0/yr</v>
      </c>
      <c r="J15" s="25" t="n">
        <f aca="false">MAX(0,B15-E15)</f>
        <v>1282110.14755295</v>
      </c>
    </row>
    <row r="16" customFormat="false" ht="15" hidden="false" customHeight="true" outlineLevel="0" collapsed="false">
      <c r="A16" s="18" t="n">
        <v>78</v>
      </c>
      <c r="B16" s="25" t="n">
        <f aca="false">J15</f>
        <v>1282110.14755295</v>
      </c>
      <c r="C16" s="25" t="n">
        <f aca="false">IF(78&gt;=Inputs!B25,IF(Inputs!B25=65,Inputs!B22*12,IF(Inputs!B25=70,Inputs!B24*12,Inputs!B23*12))*(1+Inputs!B21)^MAX(0,78-Inputs!B25),0)</f>
        <v>62539.2984574395</v>
      </c>
      <c r="D16" s="25" t="n">
        <f aca="false">C16*Inputs!B43</f>
        <v>53158.4036888236</v>
      </c>
      <c r="E16" s="25" t="n">
        <f aca="false">MAX(0,Inputs!B41-D16-Inputs!B42)</f>
        <v>117891.596311176</v>
      </c>
      <c r="F16" s="25" t="n">
        <f aca="false">D16+E16</f>
        <v>171050</v>
      </c>
      <c r="G16" s="25" t="n">
        <f aca="false">MAX(0,IF(F16&lt;=23200,F16*0.1,IF(F16&lt;=94300,23200*0.1+(F16-23200)*0.12,IF(F16&lt;=201050,23200*0.1+71100*0.12+(F16-94300)*0.22,IF(F16&lt;=383900,23200*0.1+71100*0.12+106750*0.22+(F16-201050)*0.24,23200*0.1+71100*0.12+106750*0.22+182850*0.24+(F16-383900)*0.32)))))</f>
        <v>27737</v>
      </c>
      <c r="H16" s="26" t="n">
        <f aca="false">IFERROR(G16/F16,0)</f>
        <v>0.162157263957907</v>
      </c>
      <c r="I16" s="27" t="str">
        <f aca="false">IF(F16&lt;=206000,"Tier 0 — $0/yr",IF(F16&lt;=258000,"Tier 1 — $594/yr",IF(F16&lt;=322000,"Tier 2 — $1,494/yr",IF(F16&lt;=386000,"Tier 3 — $2,394/yr",IF(F16&lt;=750000,"Tier 4 — $3,270/yr","Tier 5 — $3,564/yr")))))</f>
        <v>Tier 0 — $0/yr</v>
      </c>
      <c r="J16" s="25" t="n">
        <f aca="false">MAX(0,B16-E16)</f>
        <v>1164218.55124177</v>
      </c>
    </row>
    <row r="17" customFormat="false" ht="15" hidden="false" customHeight="true" outlineLevel="0" collapsed="false">
      <c r="A17" s="18" t="n">
        <v>79</v>
      </c>
      <c r="B17" s="25" t="n">
        <f aca="false">J16</f>
        <v>1164218.55124177</v>
      </c>
      <c r="C17" s="25" t="n">
        <f aca="false">IF(79&gt;=Inputs!B25,IF(Inputs!B25=65,Inputs!B22*12,IF(Inputs!B25=70,Inputs!B24*12,Inputs!B23*12))*(1+Inputs!B21)^MAX(0,79-Inputs!B25),0)</f>
        <v>64102.7809188755</v>
      </c>
      <c r="D17" s="25" t="n">
        <f aca="false">C17*Inputs!B43</f>
        <v>54487.3637810442</v>
      </c>
      <c r="E17" s="25" t="n">
        <f aca="false">MAX(0,Inputs!B41-D17-Inputs!B42)</f>
        <v>116562.636218956</v>
      </c>
      <c r="F17" s="25" t="n">
        <f aca="false">D17+E17</f>
        <v>171050</v>
      </c>
      <c r="G17" s="25" t="n">
        <f aca="false">MAX(0,IF(F17&lt;=23200,F17*0.1,IF(F17&lt;=94300,23200*0.1+(F17-23200)*0.12,IF(F17&lt;=201050,23200*0.1+71100*0.12+(F17-94300)*0.22,IF(F17&lt;=383900,23200*0.1+71100*0.12+106750*0.22+(F17-201050)*0.24,23200*0.1+71100*0.12+106750*0.22+182850*0.24+(F17-383900)*0.32)))))</f>
        <v>27737</v>
      </c>
      <c r="H17" s="26" t="n">
        <f aca="false">IFERROR(G17/F17,0)</f>
        <v>0.162157263957907</v>
      </c>
      <c r="I17" s="27" t="str">
        <f aca="false">IF(F17&lt;=206000,"Tier 0 — $0/yr",IF(F17&lt;=258000,"Tier 1 — $594/yr",IF(F17&lt;=322000,"Tier 2 — $1,494/yr",IF(F17&lt;=386000,"Tier 3 — $2,394/yr",IF(F17&lt;=750000,"Tier 4 — $3,270/yr","Tier 5 — $3,564/yr")))))</f>
        <v>Tier 0 — $0/yr</v>
      </c>
      <c r="J17" s="25" t="n">
        <f aca="false">MAX(0,B17-E17)</f>
        <v>1047655.91502281</v>
      </c>
    </row>
    <row r="18" customFormat="false" ht="15" hidden="false" customHeight="true" outlineLevel="0" collapsed="false">
      <c r="A18" s="18" t="n">
        <v>80</v>
      </c>
      <c r="B18" s="25" t="n">
        <f aca="false">J17</f>
        <v>1047655.91502281</v>
      </c>
      <c r="C18" s="25" t="n">
        <f aca="false">IF(80&gt;=Inputs!B25,IF(Inputs!B25=65,Inputs!B22*12,IF(Inputs!B25=70,Inputs!B24*12,Inputs!B23*12))*(1+Inputs!B21)^MAX(0,80-Inputs!B25),0)</f>
        <v>65705.3504418474</v>
      </c>
      <c r="D18" s="25" t="n">
        <f aca="false">C18*Inputs!B43</f>
        <v>55849.5478755703</v>
      </c>
      <c r="E18" s="25" t="n">
        <f aca="false">MAX(0,Inputs!B41-D18-Inputs!B42)</f>
        <v>115200.45212443</v>
      </c>
      <c r="F18" s="25" t="n">
        <f aca="false">D18+E18</f>
        <v>171050</v>
      </c>
      <c r="G18" s="25" t="n">
        <f aca="false">MAX(0,IF(F18&lt;=23200,F18*0.1,IF(F18&lt;=94300,23200*0.1+(F18-23200)*0.12,IF(F18&lt;=201050,23200*0.1+71100*0.12+(F18-94300)*0.22,IF(F18&lt;=383900,23200*0.1+71100*0.12+106750*0.22+(F18-201050)*0.24,23200*0.1+71100*0.12+106750*0.22+182850*0.24+(F18-383900)*0.32)))))</f>
        <v>27737</v>
      </c>
      <c r="H18" s="26" t="n">
        <f aca="false">IFERROR(G18/F18,0)</f>
        <v>0.162157263957907</v>
      </c>
      <c r="I18" s="27" t="str">
        <f aca="false">IF(F18&lt;=206000,"Tier 0 — $0/yr",IF(F18&lt;=258000,"Tier 1 — $594/yr",IF(F18&lt;=322000,"Tier 2 — $1,494/yr",IF(F18&lt;=386000,"Tier 3 — $2,394/yr",IF(F18&lt;=750000,"Tier 4 — $3,270/yr","Tier 5 — $3,564/yr")))))</f>
        <v>Tier 0 — $0/yr</v>
      </c>
      <c r="J18" s="25" t="n">
        <f aca="false">MAX(0,B18-E18)</f>
        <v>932455.462898383</v>
      </c>
    </row>
    <row r="19" customFormat="false" ht="15" hidden="false" customHeight="true" outlineLevel="0" collapsed="false">
      <c r="A19" s="18" t="n">
        <v>81</v>
      </c>
      <c r="B19" s="25" t="n">
        <f aca="false">J18</f>
        <v>932455.462898383</v>
      </c>
      <c r="C19" s="25" t="n">
        <f aca="false">IF(81&gt;=Inputs!B25,IF(Inputs!B25=65,Inputs!B22*12,IF(Inputs!B25=70,Inputs!B24*12,Inputs!B23*12))*(1+Inputs!B21)^MAX(0,81-Inputs!B25),0)</f>
        <v>67347.9842028936</v>
      </c>
      <c r="D19" s="25" t="n">
        <f aca="false">C19*Inputs!B43</f>
        <v>57245.7865724595</v>
      </c>
      <c r="E19" s="25" t="n">
        <f aca="false">MAX(0,Inputs!B41-D19-Inputs!B42)</f>
        <v>113804.21342754</v>
      </c>
      <c r="F19" s="25" t="n">
        <f aca="false">D19+E19</f>
        <v>171050</v>
      </c>
      <c r="G19" s="25" t="n">
        <f aca="false">MAX(0,IF(F19&lt;=23200,F19*0.1,IF(F19&lt;=94300,23200*0.1+(F19-23200)*0.12,IF(F19&lt;=201050,23200*0.1+71100*0.12+(F19-94300)*0.22,IF(F19&lt;=383900,23200*0.1+71100*0.12+106750*0.22+(F19-201050)*0.24,23200*0.1+71100*0.12+106750*0.22+182850*0.24+(F19-383900)*0.32)))))</f>
        <v>27737</v>
      </c>
      <c r="H19" s="26" t="n">
        <f aca="false">IFERROR(G19/F19,0)</f>
        <v>0.162157263957907</v>
      </c>
      <c r="I19" s="27" t="str">
        <f aca="false">IF(F19&lt;=206000,"Tier 0 — $0/yr",IF(F19&lt;=258000,"Tier 1 — $594/yr",IF(F19&lt;=322000,"Tier 2 — $1,494/yr",IF(F19&lt;=386000,"Tier 3 — $2,394/yr",IF(F19&lt;=750000,"Tier 4 — $3,270/yr","Tier 5 — $3,564/yr")))))</f>
        <v>Tier 0 — $0/yr</v>
      </c>
      <c r="J19" s="25" t="n">
        <f aca="false">MAX(0,B19-E19)</f>
        <v>818651.249470843</v>
      </c>
    </row>
    <row r="20" customFormat="false" ht="15" hidden="false" customHeight="true" outlineLevel="0" collapsed="false">
      <c r="A20" s="18" t="n">
        <v>82</v>
      </c>
      <c r="B20" s="25" t="n">
        <f aca="false">J19</f>
        <v>818651.249470843</v>
      </c>
      <c r="C20" s="25" t="n">
        <f aca="false">IF(82&gt;=Inputs!B25,IF(Inputs!B25=65,Inputs!B22*12,IF(Inputs!B25=70,Inputs!B24*12,Inputs!B23*12))*(1+Inputs!B21)^MAX(0,82-Inputs!B25),0)</f>
        <v>69031.6838079659</v>
      </c>
      <c r="D20" s="25" t="n">
        <f aca="false">C20*Inputs!B43</f>
        <v>58676.931236771</v>
      </c>
      <c r="E20" s="25" t="n">
        <f aca="false">MAX(0,Inputs!B41-D20-Inputs!B42)</f>
        <v>112373.068763229</v>
      </c>
      <c r="F20" s="25" t="n">
        <f aca="false">D20+E20</f>
        <v>171050</v>
      </c>
      <c r="G20" s="25" t="n">
        <f aca="false">MAX(0,IF(F20&lt;=23200,F20*0.1,IF(F20&lt;=94300,23200*0.1+(F20-23200)*0.12,IF(F20&lt;=201050,23200*0.1+71100*0.12+(F20-94300)*0.22,IF(F20&lt;=383900,23200*0.1+71100*0.12+106750*0.22+(F20-201050)*0.24,23200*0.1+71100*0.12+106750*0.22+182850*0.24+(F20-383900)*0.32)))))</f>
        <v>27737</v>
      </c>
      <c r="H20" s="26" t="n">
        <f aca="false">IFERROR(G20/F20,0)</f>
        <v>0.162157263957907</v>
      </c>
      <c r="I20" s="27" t="str">
        <f aca="false">IF(F20&lt;=206000,"Tier 0 — $0/yr",IF(F20&lt;=258000,"Tier 1 — $594/yr",IF(F20&lt;=322000,"Tier 2 — $1,494/yr",IF(F20&lt;=386000,"Tier 3 — $2,394/yr",IF(F20&lt;=750000,"Tier 4 — $3,270/yr","Tier 5 — $3,564/yr")))))</f>
        <v>Tier 0 — $0/yr</v>
      </c>
      <c r="J20" s="25" t="n">
        <f aca="false">MAX(0,B20-E20)</f>
        <v>706278.180707614</v>
      </c>
    </row>
    <row r="21" customFormat="false" ht="15" hidden="false" customHeight="true" outlineLevel="0" collapsed="false">
      <c r="A21" s="18" t="n">
        <v>83</v>
      </c>
      <c r="B21" s="25" t="n">
        <f aca="false">J20</f>
        <v>706278.180707614</v>
      </c>
      <c r="C21" s="25" t="n">
        <f aca="false">IF(83&gt;=Inputs!B25,IF(Inputs!B25=65,Inputs!B22*12,IF(Inputs!B25=70,Inputs!B24*12,Inputs!B23*12))*(1+Inputs!B21)^MAX(0,83-Inputs!B25),0)</f>
        <v>70757.475903165</v>
      </c>
      <c r="D21" s="25" t="n">
        <f aca="false">C21*Inputs!B43</f>
        <v>60143.8545176903</v>
      </c>
      <c r="E21" s="25" t="n">
        <f aca="false">MAX(0,Inputs!B41-D21-Inputs!B42)</f>
        <v>110906.14548231</v>
      </c>
      <c r="F21" s="25" t="n">
        <f aca="false">D21+E21</f>
        <v>171050</v>
      </c>
      <c r="G21" s="25" t="n">
        <f aca="false">MAX(0,IF(F21&lt;=23200,F21*0.1,IF(F21&lt;=94300,23200*0.1+(F21-23200)*0.12,IF(F21&lt;=201050,23200*0.1+71100*0.12+(F21-94300)*0.22,IF(F21&lt;=383900,23200*0.1+71100*0.12+106750*0.22+(F21-201050)*0.24,23200*0.1+71100*0.12+106750*0.22+182850*0.24+(F21-383900)*0.32)))))</f>
        <v>27737</v>
      </c>
      <c r="H21" s="26" t="n">
        <f aca="false">IFERROR(G21/F21,0)</f>
        <v>0.162157263957907</v>
      </c>
      <c r="I21" s="27" t="str">
        <f aca="false">IF(F21&lt;=206000,"Tier 0 — $0/yr",IF(F21&lt;=258000,"Tier 1 — $594/yr",IF(F21&lt;=322000,"Tier 2 — $1,494/yr",IF(F21&lt;=386000,"Tier 3 — $2,394/yr",IF(F21&lt;=750000,"Tier 4 — $3,270/yr","Tier 5 — $3,564/yr")))))</f>
        <v>Tier 0 — $0/yr</v>
      </c>
      <c r="J21" s="25" t="n">
        <f aca="false">MAX(0,B21-E21)</f>
        <v>595372.035225304</v>
      </c>
    </row>
    <row r="22" customFormat="false" ht="15" hidden="false" customHeight="true" outlineLevel="0" collapsed="false">
      <c r="A22" s="18" t="n">
        <v>84</v>
      </c>
      <c r="B22" s="25" t="n">
        <f aca="false">J21</f>
        <v>595372.035225304</v>
      </c>
      <c r="C22" s="25" t="n">
        <f aca="false">IF(84&gt;=Inputs!B25,IF(Inputs!B25=65,Inputs!B22*12,IF(Inputs!B25=70,Inputs!B24*12,Inputs!B23*12))*(1+Inputs!B21)^MAX(0,84-Inputs!B25),0)</f>
        <v>72526.4128007442</v>
      </c>
      <c r="D22" s="25" t="n">
        <f aca="false">C22*Inputs!B43</f>
        <v>61647.4508806325</v>
      </c>
      <c r="E22" s="25" t="n">
        <f aca="false">MAX(0,Inputs!B41-D22-Inputs!B42)</f>
        <v>109402.549119367</v>
      </c>
      <c r="F22" s="25" t="n">
        <f aca="false">D22+E22</f>
        <v>171050</v>
      </c>
      <c r="G22" s="25" t="n">
        <f aca="false">MAX(0,IF(F22&lt;=23200,F22*0.1,IF(F22&lt;=94300,23200*0.1+(F22-23200)*0.12,IF(F22&lt;=201050,23200*0.1+71100*0.12+(F22-94300)*0.22,IF(F22&lt;=383900,23200*0.1+71100*0.12+106750*0.22+(F22-201050)*0.24,23200*0.1+71100*0.12+106750*0.22+182850*0.24+(F22-383900)*0.32)))))</f>
        <v>27737</v>
      </c>
      <c r="H22" s="26" t="n">
        <f aca="false">IFERROR(G22/F22,0)</f>
        <v>0.162157263957907</v>
      </c>
      <c r="I22" s="27" t="str">
        <f aca="false">IF(F22&lt;=206000,"Tier 0 — $0/yr",IF(F22&lt;=258000,"Tier 1 — $594/yr",IF(F22&lt;=322000,"Tier 2 — $1,494/yr",IF(F22&lt;=386000,"Tier 3 — $2,394/yr",IF(F22&lt;=750000,"Tier 4 — $3,270/yr","Tier 5 — $3,564/yr")))))</f>
        <v>Tier 0 — $0/yr</v>
      </c>
      <c r="J22" s="25" t="n">
        <f aca="false">MAX(0,B22-E22)</f>
        <v>485969.486105936</v>
      </c>
    </row>
    <row r="23" customFormat="false" ht="15" hidden="false" customHeight="true" outlineLevel="0" collapsed="false">
      <c r="A23" s="18" t="n">
        <v>85</v>
      </c>
      <c r="B23" s="25" t="n">
        <f aca="false">J22</f>
        <v>485969.486105936</v>
      </c>
      <c r="C23" s="25" t="n">
        <f aca="false">IF(85&gt;=Inputs!B25,IF(Inputs!B25=65,Inputs!B22*12,IF(Inputs!B25=70,Inputs!B24*12,Inputs!B23*12))*(1+Inputs!B21)^MAX(0,85-Inputs!B25),0)</f>
        <v>74339.5731207628</v>
      </c>
      <c r="D23" s="25" t="n">
        <f aca="false">C23*Inputs!B43</f>
        <v>63188.6371526483</v>
      </c>
      <c r="E23" s="25" t="n">
        <f aca="false">MAX(0,Inputs!B41-D23-Inputs!B42)</f>
        <v>107861.362847352</v>
      </c>
      <c r="F23" s="25" t="n">
        <f aca="false">D23+E23</f>
        <v>171050</v>
      </c>
      <c r="G23" s="25" t="n">
        <f aca="false">MAX(0,IF(F23&lt;=23200,F23*0.1,IF(F23&lt;=94300,23200*0.1+(F23-23200)*0.12,IF(F23&lt;=201050,23200*0.1+71100*0.12+(F23-94300)*0.22,IF(F23&lt;=383900,23200*0.1+71100*0.12+106750*0.22+(F23-201050)*0.24,23200*0.1+71100*0.12+106750*0.22+182850*0.24+(F23-383900)*0.32)))))</f>
        <v>27737</v>
      </c>
      <c r="H23" s="26" t="n">
        <f aca="false">IFERROR(G23/F23,0)</f>
        <v>0.162157263957907</v>
      </c>
      <c r="I23" s="27" t="str">
        <f aca="false">IF(F23&lt;=206000,"Tier 0 — $0/yr",IF(F23&lt;=258000,"Tier 1 — $594/yr",IF(F23&lt;=322000,"Tier 2 — $1,494/yr",IF(F23&lt;=386000,"Tier 3 — $2,394/yr",IF(F23&lt;=750000,"Tier 4 — $3,270/yr","Tier 5 — $3,564/yr")))))</f>
        <v>Tier 0 — $0/yr</v>
      </c>
      <c r="J23" s="25" t="n">
        <f aca="false">MAX(0,B23-E23)</f>
        <v>378108.123258585</v>
      </c>
    </row>
    <row r="25" customFormat="false" ht="15" hidden="false" customHeight="true" outlineLevel="0" collapsed="false">
      <c r="A25" s="9" t="s">
        <v>70</v>
      </c>
    </row>
    <row r="26" customFormat="false" ht="15" hidden="false" customHeight="true" outlineLevel="0" collapsed="false">
      <c r="A26" s="28" t="s">
        <v>71</v>
      </c>
    </row>
    <row r="27" customFormat="false" ht="15" hidden="false" customHeight="true" outlineLevel="0" collapsed="false">
      <c r="A27" s="29" t="s">
        <v>72</v>
      </c>
    </row>
    <row r="28" customFormat="false" ht="15" hidden="false" customHeight="true" outlineLevel="0" collapsed="false">
      <c r="A28" s="30" t="s">
        <v>73</v>
      </c>
    </row>
    <row r="29" customFormat="false" ht="15" hidden="false" customHeight="true" outlineLevel="0" collapsed="false">
      <c r="A29" s="31" t="s">
        <v>74</v>
      </c>
    </row>
    <row r="30" customFormat="false" ht="15" hidden="false" customHeight="true" outlineLevel="0" collapsed="false">
      <c r="A30" s="32" t="s">
        <v>75</v>
      </c>
    </row>
    <row r="31" customFormat="false" ht="15" hidden="false" customHeight="true" outlineLevel="0" collapsed="false">
      <c r="A31" s="33" t="s">
        <v>76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7" min="6" style="1" width="13"/>
    <col collapsed="false" customWidth="true" hidden="false" outlineLevel="0" max="9" min="8" style="1" width="12"/>
    <col collapsed="false" customWidth="true" hidden="false" outlineLevel="0" max="10" min="10" style="1" width="14"/>
    <col collapsed="false" customWidth="true" hidden="false" outlineLevel="0" max="11" min="11" style="1" width="13"/>
    <col collapsed="false" customWidth="true" hidden="false" outlineLevel="0" max="12" min="12" style="1" width="14"/>
    <col collapsed="false" customWidth="true" hidden="false" outlineLevel="0" max="15" min="13" style="1" width="12"/>
    <col collapsed="false" customWidth="true" hidden="false" outlineLevel="0" max="16" min="16" style="1" width="13"/>
  </cols>
  <sheetData>
    <row r="1" customFormat="false" ht="30" hidden="false" customHeight="true" outlineLevel="0" collapsed="false">
      <c r="A1" s="16" t="s">
        <v>77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customFormat="false" ht="42" hidden="false" customHeight="true" outlineLevel="0" collapsed="false">
      <c r="A2" s="17" t="s">
        <v>60</v>
      </c>
      <c r="B2" s="17" t="s">
        <v>78</v>
      </c>
      <c r="C2" s="17" t="s">
        <v>79</v>
      </c>
      <c r="D2" s="17" t="s">
        <v>80</v>
      </c>
      <c r="E2" s="17" t="s">
        <v>81</v>
      </c>
      <c r="F2" s="17" t="s">
        <v>82</v>
      </c>
      <c r="G2" s="17" t="s">
        <v>83</v>
      </c>
      <c r="H2" s="17" t="s">
        <v>84</v>
      </c>
      <c r="I2" s="17" t="s">
        <v>85</v>
      </c>
      <c r="J2" s="17" t="s">
        <v>86</v>
      </c>
      <c r="K2" s="17" t="s">
        <v>87</v>
      </c>
      <c r="L2" s="17" t="s">
        <v>88</v>
      </c>
      <c r="M2" s="17" t="s">
        <v>89</v>
      </c>
      <c r="N2" s="17" t="s">
        <v>66</v>
      </c>
      <c r="O2" s="17" t="s">
        <v>90</v>
      </c>
      <c r="P2" s="17" t="s">
        <v>91</v>
      </c>
    </row>
    <row r="3" customFormat="false" ht="15" hidden="false" customHeight="true" outlineLevel="0" collapsed="false">
      <c r="A3" s="18" t="n">
        <v>65</v>
      </c>
      <c r="B3" s="19" t="n">
        <f aca="false">Inputs!B29*12*(1+Inputs!B20)^0</f>
        <v>84000</v>
      </c>
      <c r="C3" s="19" t="n">
        <f aca="false">IF(Inputs!B51=1,0,IF((VALUE(A3)-Inputs!B5)&gt;=MAX(0,Inputs!B48-(Inputs!B5-Inputs!B4)),0,Inputs!B30*12))</f>
        <v>36000</v>
      </c>
      <c r="D3" s="19" t="n">
        <f aca="false">Inputs!B31+Inputs!B32</f>
        <v>16500</v>
      </c>
      <c r="E3" s="19" t="n">
        <f aca="false">IF(60&lt;65,Inputs!B35*12,0)</f>
        <v>9600</v>
      </c>
      <c r="F3" s="19" t="n">
        <f aca="false">Inputs!B33*12*(1+Inputs!B34)^0</f>
        <v>2220</v>
      </c>
      <c r="G3" s="34" t="n">
        <f aca="false">B3+C3+D3+E3+F3</f>
        <v>148320</v>
      </c>
      <c r="H3" s="19" t="n">
        <f aca="false">IF(65&gt;=Inputs!B25,IF(Inputs!B25=65,Inputs!B22*12,IF(Inputs!B25=70,Inputs!B24*12,Inputs!B23*12))*(1+Inputs!B21)^MAX(0,65-Inputs!B25),0)</f>
        <v>0</v>
      </c>
      <c r="I3" s="19" t="n">
        <f aca="false">IF(60&gt;=Inputs!B26,Inputs!B23*12*0.5*(1+Inputs!B21)^MAX(0,60-Inputs!B26),0)</f>
        <v>0</v>
      </c>
      <c r="J3" s="19" t="n">
        <f aca="false">'Roth Conversion'!E3</f>
        <v>171050</v>
      </c>
      <c r="K3" s="19" t="n">
        <f aca="false">MAX(0,G3-H3-I3-J3)*0.4</f>
        <v>0</v>
      </c>
      <c r="L3" s="19" t="n">
        <f aca="false">MAX(0,G3-H3-I3-J3-K3)</f>
        <v>0</v>
      </c>
      <c r="M3" s="19" t="n">
        <f aca="false">F3</f>
        <v>2220</v>
      </c>
      <c r="N3" s="19" t="n">
        <f aca="false">MAX(0,IF((J3+H3*Inputs!B43)&lt;=23200,(J3+H3*Inputs!B43)*0.1,IF((J3+H3*Inputs!B43)&lt;=94300,23200*0.1+((J3+H3*Inputs!B43)-23200)*0.12,IF((J3+H3*Inputs!B43)&lt;=201050,23200*0.1+71100*0.12+((J3+H3*Inputs!B43)-94300)*0.22,23200*0.1+71100*0.12+106750*0.22+((J3+H3*Inputs!B43)-201050)*0.24))))</f>
        <v>27737</v>
      </c>
      <c r="O3" s="19" t="n">
        <f aca="false">J3*0.0637</f>
        <v>10895.885</v>
      </c>
      <c r="P3" s="35" t="n">
        <f aca="false">H3+I3+J3+K3+L3-G3-N3-O3</f>
        <v>-15902.885</v>
      </c>
    </row>
    <row r="4" customFormat="false" ht="15" hidden="false" customHeight="true" outlineLevel="0" collapsed="false">
      <c r="A4" s="18" t="n">
        <v>66</v>
      </c>
      <c r="B4" s="22" t="n">
        <f aca="false">Inputs!B29*12*(1+Inputs!B20)^1</f>
        <v>86520</v>
      </c>
      <c r="C4" s="22" t="n">
        <f aca="false">IF(Inputs!B51=1,0,IF((VALUE(A4)-Inputs!B5)&gt;=MAX(0,Inputs!B48-(Inputs!B5-Inputs!B4)),0,Inputs!B30*12))</f>
        <v>36000</v>
      </c>
      <c r="D4" s="22" t="n">
        <f aca="false">Inputs!B31+Inputs!B32</f>
        <v>16500</v>
      </c>
      <c r="E4" s="22" t="n">
        <f aca="false">IF(61&lt;65,Inputs!B35*12,0)</f>
        <v>9600</v>
      </c>
      <c r="F4" s="22" t="n">
        <f aca="false">Inputs!B33*12*(1+Inputs!B34)^1</f>
        <v>2331</v>
      </c>
      <c r="G4" s="36" t="n">
        <f aca="false">B4+C4+D4+E4+F4</f>
        <v>150951</v>
      </c>
      <c r="H4" s="22" t="n">
        <f aca="false">IF(66&gt;=Inputs!B25,IF(Inputs!B25=65,Inputs!B22*12,IF(Inputs!B25=70,Inputs!B24*12,Inputs!B23*12))*(1+Inputs!B21)^MAX(0,66-Inputs!B25),0)</f>
        <v>0</v>
      </c>
      <c r="I4" s="22" t="n">
        <f aca="false">IF(61&gt;=Inputs!B26,Inputs!B23*12*0.5*(1+Inputs!B21)^MAX(0,61-Inputs!B26),0)</f>
        <v>0</v>
      </c>
      <c r="J4" s="22" t="n">
        <f aca="false">'Roth Conversion'!E4</f>
        <v>171050</v>
      </c>
      <c r="K4" s="22" t="n">
        <f aca="false">MAX(0,G4-H4-I4-J4)*0.4</f>
        <v>0</v>
      </c>
      <c r="L4" s="22" t="n">
        <f aca="false">MAX(0,G4-H4-I4-J4-K4)</f>
        <v>0</v>
      </c>
      <c r="M4" s="22" t="n">
        <f aca="false">F4</f>
        <v>2331</v>
      </c>
      <c r="N4" s="22" t="n">
        <f aca="false">MAX(0,IF((J4+H4*Inputs!B43)&lt;=23200,(J4+H4*Inputs!B43)*0.1,IF((J4+H4*Inputs!B43)&lt;=94300,23200*0.1+((J4+H4*Inputs!B43)-23200)*0.12,IF((J4+H4*Inputs!B43)&lt;=201050,23200*0.1+71100*0.12+((J4+H4*Inputs!B43)-94300)*0.22,23200*0.1+71100*0.12+106750*0.22+((J4+H4*Inputs!B43)-201050)*0.24))))</f>
        <v>27737</v>
      </c>
      <c r="O4" s="22" t="n">
        <f aca="false">J4*0.0637</f>
        <v>10895.885</v>
      </c>
      <c r="P4" s="37" t="n">
        <f aca="false">H4+I4+J4+K4+L4-G4-N4-O4</f>
        <v>-18533.885</v>
      </c>
    </row>
    <row r="5" customFormat="false" ht="15" hidden="false" customHeight="true" outlineLevel="0" collapsed="false">
      <c r="A5" s="18" t="n">
        <v>67</v>
      </c>
      <c r="B5" s="19" t="n">
        <f aca="false">Inputs!B29*12*(1+Inputs!B20)^2</f>
        <v>89115.6</v>
      </c>
      <c r="C5" s="19" t="n">
        <f aca="false">IF(Inputs!B51=1,0,IF((VALUE(A5)-Inputs!B5)&gt;=MAX(0,Inputs!B48-(Inputs!B5-Inputs!B4)),0,Inputs!B30*12))</f>
        <v>36000</v>
      </c>
      <c r="D5" s="19" t="n">
        <f aca="false">Inputs!B31+Inputs!B32</f>
        <v>16500</v>
      </c>
      <c r="E5" s="19" t="n">
        <f aca="false">IF(62&lt;65,Inputs!B35*12,0)</f>
        <v>9600</v>
      </c>
      <c r="F5" s="19" t="n">
        <f aca="false">Inputs!B33*12*(1+Inputs!B34)^2</f>
        <v>2447.55</v>
      </c>
      <c r="G5" s="34" t="n">
        <f aca="false">B5+C5+D5+E5+F5</f>
        <v>153663.15</v>
      </c>
      <c r="H5" s="19" t="n">
        <f aca="false">IF(67&gt;=Inputs!B25,IF(Inputs!B25=65,Inputs!B22*12,IF(Inputs!B25=70,Inputs!B24*12,Inputs!B23*12))*(1+Inputs!B21)^MAX(0,67-Inputs!B25),0)</f>
        <v>47664</v>
      </c>
      <c r="I5" s="19" t="n">
        <f aca="false">IF(62&gt;=Inputs!B26,Inputs!B23*12*0.5*(1+Inputs!B21)^MAX(0,62-Inputs!B26),0)</f>
        <v>0</v>
      </c>
      <c r="J5" s="19" t="n">
        <f aca="false">'Roth Conversion'!E5</f>
        <v>130535.6</v>
      </c>
      <c r="K5" s="19" t="n">
        <f aca="false">MAX(0,G5-H5-I5-J5)*0.4</f>
        <v>0</v>
      </c>
      <c r="L5" s="19" t="n">
        <f aca="false">MAX(0,G5-H5-I5-J5-K5)</f>
        <v>0</v>
      </c>
      <c r="M5" s="19" t="n">
        <f aca="false">F5</f>
        <v>2447.55</v>
      </c>
      <c r="N5" s="19" t="n">
        <f aca="false">MAX(0,IF((J5+H5*Inputs!B43)&lt;=23200,(J5+H5*Inputs!B43)*0.1,IF((J5+H5*Inputs!B43)&lt;=94300,23200*0.1+((J5+H5*Inputs!B43)-23200)*0.12,IF((J5+H5*Inputs!B43)&lt;=201050,23200*0.1+71100*0.12+((J5+H5*Inputs!B43)-94300)*0.22,23200*0.1+71100*0.12+106750*0.22+((J5+H5*Inputs!B43)-201050)*0.24))))</f>
        <v>27737</v>
      </c>
      <c r="O5" s="19" t="n">
        <f aca="false">J5*0.0637</f>
        <v>8315.11772</v>
      </c>
      <c r="P5" s="35" t="n">
        <f aca="false">H5+I5+J5+K5+L5-G5-N5-O5</f>
        <v>-11515.66772</v>
      </c>
    </row>
    <row r="6" customFormat="false" ht="15" hidden="false" customHeight="true" outlineLevel="0" collapsed="false">
      <c r="A6" s="18" t="n">
        <v>68</v>
      </c>
      <c r="B6" s="22" t="n">
        <f aca="false">Inputs!B29*12*(1+Inputs!B20)^3</f>
        <v>91789.068</v>
      </c>
      <c r="C6" s="22" t="n">
        <f aca="false">IF(Inputs!B51=1,0,IF((VALUE(A6)-Inputs!B5)&gt;=MAX(0,Inputs!B48-(Inputs!B5-Inputs!B4)),0,Inputs!B30*12))</f>
        <v>36000</v>
      </c>
      <c r="D6" s="22" t="n">
        <f aca="false">Inputs!B31+Inputs!B32</f>
        <v>16500</v>
      </c>
      <c r="E6" s="22" t="n">
        <f aca="false">IF(63&lt;65,Inputs!B35*12,0)</f>
        <v>9600</v>
      </c>
      <c r="F6" s="22" t="n">
        <f aca="false">Inputs!B33*12*(1+Inputs!B34)^3</f>
        <v>2569.9275</v>
      </c>
      <c r="G6" s="36" t="n">
        <f aca="false">B6+C6+D6+E6+F6</f>
        <v>156458.9955</v>
      </c>
      <c r="H6" s="22" t="n">
        <f aca="false">IF(68&gt;=Inputs!B25,IF(Inputs!B25=65,Inputs!B22*12,IF(Inputs!B25=70,Inputs!B24*12,Inputs!B23*12))*(1+Inputs!B21)^MAX(0,68-Inputs!B25),0)</f>
        <v>48855.6</v>
      </c>
      <c r="I6" s="22" t="n">
        <f aca="false">IF(63&gt;=Inputs!B26,Inputs!B23*12*0.5*(1+Inputs!B21)^MAX(0,63-Inputs!B26),0)</f>
        <v>0</v>
      </c>
      <c r="J6" s="22" t="n">
        <f aca="false">'Roth Conversion'!E6</f>
        <v>129522.74</v>
      </c>
      <c r="K6" s="22" t="n">
        <f aca="false">MAX(0,G6-H6-I6-J6)*0.4</f>
        <v>0</v>
      </c>
      <c r="L6" s="22" t="n">
        <f aca="false">MAX(0,G6-H6-I6-J6-K6)</f>
        <v>0</v>
      </c>
      <c r="M6" s="22" t="n">
        <f aca="false">F6</f>
        <v>2569.9275</v>
      </c>
      <c r="N6" s="22" t="n">
        <f aca="false">MAX(0,IF((J6+H6*Inputs!B43)&lt;=23200,(J6+H6*Inputs!B43)*0.1,IF((J6+H6*Inputs!B43)&lt;=94300,23200*0.1+((J6+H6*Inputs!B43)-23200)*0.12,IF((J6+H6*Inputs!B43)&lt;=201050,23200*0.1+71100*0.12+((J6+H6*Inputs!B43)-94300)*0.22,23200*0.1+71100*0.12+106750*0.22+((J6+H6*Inputs!B43)-201050)*0.24))))</f>
        <v>27737</v>
      </c>
      <c r="O6" s="22" t="n">
        <f aca="false">J6*0.0637</f>
        <v>8250.598538</v>
      </c>
      <c r="P6" s="37" t="n">
        <f aca="false">H6+I6+J6+K6+L6-G6-N6-O6</f>
        <v>-14068.254038</v>
      </c>
    </row>
    <row r="7" customFormat="false" ht="15" hidden="false" customHeight="true" outlineLevel="0" collapsed="false">
      <c r="A7" s="18" t="n">
        <v>69</v>
      </c>
      <c r="B7" s="19" t="n">
        <f aca="false">Inputs!B29*12*(1+Inputs!B20)^4</f>
        <v>94542.74004</v>
      </c>
      <c r="C7" s="19" t="n">
        <f aca="false">IF(Inputs!B51=1,0,IF((VALUE(A7)-Inputs!B5)&gt;=MAX(0,Inputs!B48-(Inputs!B5-Inputs!B4)),0,Inputs!B30*12))</f>
        <v>36000</v>
      </c>
      <c r="D7" s="19" t="n">
        <f aca="false">Inputs!B31+Inputs!B32</f>
        <v>16500</v>
      </c>
      <c r="E7" s="19" t="n">
        <f aca="false">IF(64&lt;65,Inputs!B35*12,0)</f>
        <v>9600</v>
      </c>
      <c r="F7" s="19" t="n">
        <f aca="false">Inputs!B33*12*(1+Inputs!B34)^4</f>
        <v>2698.423875</v>
      </c>
      <c r="G7" s="34" t="n">
        <f aca="false">B7+C7+D7+E7+F7</f>
        <v>159341.163915</v>
      </c>
      <c r="H7" s="19" t="n">
        <f aca="false">IF(69&gt;=Inputs!B25,IF(Inputs!B25=65,Inputs!B22*12,IF(Inputs!B25=70,Inputs!B24*12,Inputs!B23*12))*(1+Inputs!B21)^MAX(0,69-Inputs!B25),0)</f>
        <v>50076.99</v>
      </c>
      <c r="I7" s="19" t="n">
        <f aca="false">IF(64&gt;=Inputs!B26,Inputs!B23*12*0.5*(1+Inputs!B21)^MAX(0,64-Inputs!B26),0)</f>
        <v>0</v>
      </c>
      <c r="J7" s="19" t="n">
        <f aca="false">'Roth Conversion'!E7</f>
        <v>128484.5585</v>
      </c>
      <c r="K7" s="19" t="n">
        <f aca="false">MAX(0,G7-H7-I7-J7)*0.4</f>
        <v>0</v>
      </c>
      <c r="L7" s="19" t="n">
        <f aca="false">MAX(0,G7-H7-I7-J7-K7)</f>
        <v>0</v>
      </c>
      <c r="M7" s="19" t="n">
        <f aca="false">F7</f>
        <v>2698.423875</v>
      </c>
      <c r="N7" s="19" t="n">
        <f aca="false">MAX(0,IF((J7+H7*Inputs!B43)&lt;=23200,(J7+H7*Inputs!B43)*0.1,IF((J7+H7*Inputs!B43)&lt;=94300,23200*0.1+((J7+H7*Inputs!B43)-23200)*0.12,IF((J7+H7*Inputs!B43)&lt;=201050,23200*0.1+71100*0.12+((J7+H7*Inputs!B43)-94300)*0.22,23200*0.1+71100*0.12+106750*0.22+((J7+H7*Inputs!B43)-201050)*0.24))))</f>
        <v>27737</v>
      </c>
      <c r="O7" s="19" t="n">
        <f aca="false">J7*0.0637</f>
        <v>8184.46637645</v>
      </c>
      <c r="P7" s="35" t="n">
        <f aca="false">H7+I7+J7+K7+L7-G7-N7-O7</f>
        <v>-16701.08179145</v>
      </c>
    </row>
    <row r="8" customFormat="false" ht="15" hidden="false" customHeight="true" outlineLevel="0" collapsed="false">
      <c r="A8" s="18" t="n">
        <v>70</v>
      </c>
      <c r="B8" s="22" t="n">
        <f aca="false">Inputs!B29*12*(1+Inputs!B20)^5</f>
        <v>97379.0222412</v>
      </c>
      <c r="C8" s="22" t="n">
        <f aca="false">IF(Inputs!B51=1,0,IF((VALUE(A8)-Inputs!B5)&gt;=MAX(0,Inputs!B48-(Inputs!B5-Inputs!B4)),0,Inputs!B30*12))</f>
        <v>36000</v>
      </c>
      <c r="D8" s="22" t="n">
        <f aca="false">Inputs!B31+Inputs!B32</f>
        <v>16500</v>
      </c>
      <c r="E8" s="22" t="n">
        <f aca="false">IF(65&lt;65,Inputs!B35*12,0)</f>
        <v>0</v>
      </c>
      <c r="F8" s="22" t="n">
        <f aca="false">Inputs!B33*12*(1+Inputs!B34)^5</f>
        <v>2833.34506875</v>
      </c>
      <c r="G8" s="36" t="n">
        <f aca="false">B8+C8+D8+E8+F8</f>
        <v>152712.36730995</v>
      </c>
      <c r="H8" s="22" t="n">
        <f aca="false">IF(70&gt;=Inputs!B25,IF(Inputs!B25=65,Inputs!B22*12,IF(Inputs!B25=70,Inputs!B24*12,Inputs!B23*12))*(1+Inputs!B21)^MAX(0,70-Inputs!B25),0)</f>
        <v>51328.91475</v>
      </c>
      <c r="I8" s="22" t="n">
        <f aca="false">IF(65&gt;=Inputs!B26,Inputs!B23*12*0.5*(1+Inputs!B21)^MAX(0,65-Inputs!B26),0)</f>
        <v>23832</v>
      </c>
      <c r="J8" s="22" t="n">
        <f aca="false">'Roth Conversion'!E8</f>
        <v>127420.4224625</v>
      </c>
      <c r="K8" s="22" t="n">
        <f aca="false">MAX(0,G8-H8-I8-J8)*0.4</f>
        <v>0</v>
      </c>
      <c r="L8" s="22" t="n">
        <f aca="false">MAX(0,G8-H8-I8-J8-K8)</f>
        <v>0</v>
      </c>
      <c r="M8" s="22" t="n">
        <f aca="false">F8</f>
        <v>2833.34506875</v>
      </c>
      <c r="N8" s="22" t="n">
        <f aca="false">MAX(0,IF((J8+H8*Inputs!B43)&lt;=23200,(J8+H8*Inputs!B43)*0.1,IF((J8+H8*Inputs!B43)&lt;=94300,23200*0.1+((J8+H8*Inputs!B43)-23200)*0.12,IF((J8+H8*Inputs!B43)&lt;=201050,23200*0.1+71100*0.12+((J8+H8*Inputs!B43)-94300)*0.22,23200*0.1+71100*0.12+106750*0.22+((J8+H8*Inputs!B43)-201050)*0.24))))</f>
        <v>27737</v>
      </c>
      <c r="O8" s="22" t="n">
        <f aca="false">J8*0.0637</f>
        <v>8116.68091086125</v>
      </c>
      <c r="P8" s="37" t="n">
        <f aca="false">H8+I8+J8+K8+L8-G8-N8-O8</f>
        <v>14015.2889916887</v>
      </c>
    </row>
    <row r="9" customFormat="false" ht="15" hidden="false" customHeight="true" outlineLevel="0" collapsed="false">
      <c r="A9" s="18" t="n">
        <v>71</v>
      </c>
      <c r="B9" s="19" t="n">
        <f aca="false">Inputs!B29*12*(1+Inputs!B20)^6</f>
        <v>100300.392908436</v>
      </c>
      <c r="C9" s="19" t="n">
        <f aca="false">IF(Inputs!B51=1,0,IF((VALUE(A9)-Inputs!B5)&gt;=MAX(0,Inputs!B48-(Inputs!B5-Inputs!B4)),0,Inputs!B30*12))</f>
        <v>36000</v>
      </c>
      <c r="D9" s="19" t="n">
        <f aca="false">Inputs!B31+Inputs!B32</f>
        <v>16500</v>
      </c>
      <c r="E9" s="19" t="n">
        <f aca="false">IF(66&lt;65,Inputs!B35*12,0)</f>
        <v>0</v>
      </c>
      <c r="F9" s="19" t="n">
        <f aca="false">Inputs!B33*12*(1+Inputs!B34)^6</f>
        <v>2975.0123221875</v>
      </c>
      <c r="G9" s="34" t="n">
        <f aca="false">B9+C9+D9+E9+F9</f>
        <v>155775.405230624</v>
      </c>
      <c r="H9" s="19" t="n">
        <f aca="false">IF(71&gt;=Inputs!B25,IF(Inputs!B25=65,Inputs!B22*12,IF(Inputs!B25=70,Inputs!B24*12,Inputs!B23*12))*(1+Inputs!B21)^MAX(0,71-Inputs!B25),0)</f>
        <v>52612.13761875</v>
      </c>
      <c r="I9" s="19" t="n">
        <f aca="false">IF(66&gt;=Inputs!B26,Inputs!B23*12*0.5*(1+Inputs!B21)^MAX(0,66-Inputs!B26),0)</f>
        <v>24427.8</v>
      </c>
      <c r="J9" s="19" t="n">
        <f aca="false">'Roth Conversion'!E9</f>
        <v>126329.683024063</v>
      </c>
      <c r="K9" s="19" t="n">
        <f aca="false">MAX(0,G9-H9-I9-J9)*0.4</f>
        <v>0</v>
      </c>
      <c r="L9" s="19" t="n">
        <f aca="false">MAX(0,G9-H9-I9-J9-K9)</f>
        <v>0</v>
      </c>
      <c r="M9" s="19" t="n">
        <f aca="false">F9</f>
        <v>2975.0123221875</v>
      </c>
      <c r="N9" s="19" t="n">
        <f aca="false">MAX(0,IF((J9+H9*Inputs!B43)&lt;=23200,(J9+H9*Inputs!B43)*0.1,IF((J9+H9*Inputs!B43)&lt;=94300,23200*0.1+((J9+H9*Inputs!B43)-23200)*0.12,IF((J9+H9*Inputs!B43)&lt;=201050,23200*0.1+71100*0.12+((J9+H9*Inputs!B43)-94300)*0.22,23200*0.1+71100*0.12+106750*0.22+((J9+H9*Inputs!B43)-201050)*0.24))))</f>
        <v>27737</v>
      </c>
      <c r="O9" s="19" t="n">
        <f aca="false">J9*0.0637</f>
        <v>8047.20080863278</v>
      </c>
      <c r="P9" s="35" t="n">
        <f aca="false">H9+I9+J9+K9+L9-G9-N9-O9</f>
        <v>11810.0146035562</v>
      </c>
    </row>
    <row r="10" customFormat="false" ht="15" hidden="false" customHeight="true" outlineLevel="0" collapsed="false">
      <c r="A10" s="18" t="n">
        <v>72</v>
      </c>
      <c r="B10" s="22" t="n">
        <f aca="false">Inputs!B29*12*(1+Inputs!B20)^7</f>
        <v>103309.404695689</v>
      </c>
      <c r="C10" s="22" t="n">
        <f aca="false">IF(Inputs!B51=1,0,IF((VALUE(A10)-Inputs!B5)&gt;=MAX(0,Inputs!B48-(Inputs!B5-Inputs!B4)),0,Inputs!B30*12))</f>
        <v>36000</v>
      </c>
      <c r="D10" s="22" t="n">
        <f aca="false">Inputs!B31+Inputs!B32</f>
        <v>16500</v>
      </c>
      <c r="E10" s="22" t="n">
        <f aca="false">IF(67&lt;65,Inputs!B35*12,0)</f>
        <v>0</v>
      </c>
      <c r="F10" s="22" t="n">
        <f aca="false">Inputs!B33*12*(1+Inputs!B34)^7</f>
        <v>3123.76293829688</v>
      </c>
      <c r="G10" s="36" t="n">
        <f aca="false">B10+C10+D10+E10+F10</f>
        <v>158933.167633986</v>
      </c>
      <c r="H10" s="22" t="n">
        <f aca="false">IF(72&gt;=Inputs!B25,IF(Inputs!B25=65,Inputs!B22*12,IF(Inputs!B25=70,Inputs!B24*12,Inputs!B23*12))*(1+Inputs!B21)^MAX(0,72-Inputs!B25),0)</f>
        <v>53927.4410592187</v>
      </c>
      <c r="I10" s="22" t="n">
        <f aca="false">IF(67&gt;=Inputs!B26,Inputs!B23*12*0.5*(1+Inputs!B21)^MAX(0,67-Inputs!B26),0)</f>
        <v>25038.495</v>
      </c>
      <c r="J10" s="22" t="n">
        <f aca="false">'Roth Conversion'!E10</f>
        <v>125211.675099664</v>
      </c>
      <c r="K10" s="22" t="n">
        <f aca="false">MAX(0,G10-H10-I10-J10)*0.4</f>
        <v>0</v>
      </c>
      <c r="L10" s="22" t="n">
        <f aca="false">MAX(0,G10-H10-I10-J10-K10)</f>
        <v>0</v>
      </c>
      <c r="M10" s="22" t="n">
        <f aca="false">F10</f>
        <v>3123.76293829688</v>
      </c>
      <c r="N10" s="22" t="n">
        <f aca="false">MAX(0,IF((J10+H10*Inputs!B43)&lt;=23200,(J10+H10*Inputs!B43)*0.1,IF((J10+H10*Inputs!B43)&lt;=94300,23200*0.1+((J10+H10*Inputs!B43)-23200)*0.12,IF((J10+H10*Inputs!B43)&lt;=201050,23200*0.1+71100*0.12+((J10+H10*Inputs!B43)-94300)*0.22,23200*0.1+71100*0.12+106750*0.22+((J10+H10*Inputs!B43)-201050)*0.24))))</f>
        <v>27737</v>
      </c>
      <c r="O10" s="22" t="n">
        <f aca="false">J10*0.0637</f>
        <v>7975.9837038486</v>
      </c>
      <c r="P10" s="37" t="n">
        <f aca="false">H10+I10+J10+K10+L10-G10-N10-O10</f>
        <v>9531.45982104821</v>
      </c>
    </row>
    <row r="11" customFormat="false" ht="15" hidden="false" customHeight="true" outlineLevel="0" collapsed="false">
      <c r="A11" s="18" t="n">
        <v>73</v>
      </c>
      <c r="B11" s="25" t="n">
        <f aca="false">Inputs!B29*12*(1+Inputs!B20)^8</f>
        <v>106408.68683656</v>
      </c>
      <c r="C11" s="25" t="n">
        <f aca="false">IF(Inputs!B51=1,0,IF((VALUE(A11)-Inputs!B5)&gt;=MAX(0,Inputs!B48-(Inputs!B5-Inputs!B4)),0,Inputs!B30*12))</f>
        <v>36000</v>
      </c>
      <c r="D11" s="25" t="n">
        <f aca="false">Inputs!B31+Inputs!B32</f>
        <v>16500</v>
      </c>
      <c r="E11" s="25" t="n">
        <f aca="false">IF(68&lt;65,Inputs!B35*12,0)</f>
        <v>0</v>
      </c>
      <c r="F11" s="25" t="n">
        <f aca="false">Inputs!B33*12*(1+Inputs!B34)^8</f>
        <v>3279.95108521172</v>
      </c>
      <c r="G11" s="38" t="n">
        <f aca="false">B11+C11+D11+E11+F11</f>
        <v>162188.637921772</v>
      </c>
      <c r="H11" s="25" t="n">
        <f aca="false">IF(73&gt;=Inputs!B25,IF(Inputs!B25=65,Inputs!B22*12,IF(Inputs!B25=70,Inputs!B24*12,Inputs!B23*12))*(1+Inputs!B21)^MAX(0,73-Inputs!B25),0)</f>
        <v>55275.6270856992</v>
      </c>
      <c r="I11" s="25" t="n">
        <f aca="false">IF(68&gt;=Inputs!B26,Inputs!B23*12*0.5*(1+Inputs!B21)^MAX(0,68-Inputs!B26),0)</f>
        <v>25664.457375</v>
      </c>
      <c r="J11" s="25" t="n">
        <f aca="false">'Roth Conversion'!E11</f>
        <v>124065.716977156</v>
      </c>
      <c r="K11" s="25" t="n">
        <f aca="false">MAX(0,G11-H11-I11-J11)*0.4</f>
        <v>0</v>
      </c>
      <c r="L11" s="25" t="n">
        <f aca="false">MAX(0,G11-H11-I11-J11-K11)</f>
        <v>0</v>
      </c>
      <c r="M11" s="25" t="n">
        <f aca="false">F11</f>
        <v>3279.95108521172</v>
      </c>
      <c r="N11" s="25" t="n">
        <f aca="false">MAX(0,IF((J11+H11*Inputs!B43)&lt;=23200,(J11+H11*Inputs!B43)*0.1,IF((J11+H11*Inputs!B43)&lt;=94300,23200*0.1+((J11+H11*Inputs!B43)-23200)*0.12,IF((J11+H11*Inputs!B43)&lt;=201050,23200*0.1+71100*0.12+((J11+H11*Inputs!B43)-94300)*0.22,23200*0.1+71100*0.12+106750*0.22+((J11+H11*Inputs!B43)-201050)*0.24))))</f>
        <v>27737</v>
      </c>
      <c r="O11" s="25" t="n">
        <f aca="false">J11*0.0637</f>
        <v>7902.98617144482</v>
      </c>
      <c r="P11" s="39" t="n">
        <f aca="false">H11+I11+J11+K11+L11-G11-N11-O11</f>
        <v>7177.17734463854</v>
      </c>
    </row>
    <row r="12" customFormat="false" ht="15" hidden="false" customHeight="true" outlineLevel="0" collapsed="false">
      <c r="A12" s="18" t="n">
        <v>74</v>
      </c>
      <c r="B12" s="25" t="n">
        <f aca="false">Inputs!B29*12*(1+Inputs!B20)^9</f>
        <v>109600.947441657</v>
      </c>
      <c r="C12" s="25" t="n">
        <f aca="false">IF(Inputs!B51=1,0,IF((VALUE(A12)-Inputs!B5)&gt;=MAX(0,Inputs!B48-(Inputs!B5-Inputs!B4)),0,Inputs!B30*12))</f>
        <v>36000</v>
      </c>
      <c r="D12" s="25" t="n">
        <f aca="false">Inputs!B31+Inputs!B32</f>
        <v>16500</v>
      </c>
      <c r="E12" s="25" t="n">
        <f aca="false">IF(69&lt;65,Inputs!B35*12,0)</f>
        <v>0</v>
      </c>
      <c r="F12" s="25" t="n">
        <f aca="false">Inputs!B33*12*(1+Inputs!B34)^9</f>
        <v>3443.94863947231</v>
      </c>
      <c r="G12" s="38" t="n">
        <f aca="false">B12+C12+D12+E12+F12</f>
        <v>165544.896081129</v>
      </c>
      <c r="H12" s="25" t="n">
        <f aca="false">IF(74&gt;=Inputs!B25,IF(Inputs!B25=65,Inputs!B22*12,IF(Inputs!B25=70,Inputs!B24*12,Inputs!B23*12))*(1+Inputs!B21)^MAX(0,74-Inputs!B25),0)</f>
        <v>56657.5177628417</v>
      </c>
      <c r="I12" s="25" t="n">
        <f aca="false">IF(69&gt;=Inputs!B26,Inputs!B23*12*0.5*(1+Inputs!B21)^MAX(0,69-Inputs!B26),0)</f>
        <v>26306.068809375</v>
      </c>
      <c r="J12" s="25" t="n">
        <f aca="false">'Roth Conversion'!E12</f>
        <v>122891.109901585</v>
      </c>
      <c r="K12" s="25" t="n">
        <f aca="false">MAX(0,G12-H12-I12-J12)*0.4</f>
        <v>0</v>
      </c>
      <c r="L12" s="25" t="n">
        <f aca="false">MAX(0,G12-H12-I12-J12-K12)</f>
        <v>0</v>
      </c>
      <c r="M12" s="25" t="n">
        <f aca="false">F12</f>
        <v>3443.94863947231</v>
      </c>
      <c r="N12" s="25" t="n">
        <f aca="false">MAX(0,IF((J12+H12*Inputs!B43)&lt;=23200,(J12+H12*Inputs!B43)*0.1,IF((J12+H12*Inputs!B43)&lt;=94300,23200*0.1+((J12+H12*Inputs!B43)-23200)*0.12,IF((J12+H12*Inputs!B43)&lt;=201050,23200*0.1+71100*0.12+((J12+H12*Inputs!B43)-94300)*0.22,23200*0.1+71100*0.12+106750*0.22+((J12+H12*Inputs!B43)-201050)*0.24))))</f>
        <v>27737</v>
      </c>
      <c r="O12" s="25" t="n">
        <f aca="false">J12*0.0637</f>
        <v>7828.16370073094</v>
      </c>
      <c r="P12" s="39" t="n">
        <f aca="false">H12+I12+J12+K12+L12-G12-N12-O12</f>
        <v>4744.63669194142</v>
      </c>
    </row>
    <row r="13" customFormat="false" ht="15" hidden="false" customHeight="true" outlineLevel="0" collapsed="false">
      <c r="A13" s="18" t="n">
        <v>75</v>
      </c>
      <c r="B13" s="25" t="n">
        <f aca="false">Inputs!B29*12*(1+Inputs!B20)^10</f>
        <v>112888.975864906</v>
      </c>
      <c r="C13" s="25" t="n">
        <f aca="false">IF(Inputs!B51=1,0,IF((VALUE(A13)-Inputs!B5)&gt;=MAX(0,Inputs!B48-(Inputs!B5-Inputs!B4)),0,Inputs!B30*12))</f>
        <v>36000</v>
      </c>
      <c r="D13" s="25" t="n">
        <f aca="false">Inputs!B31+Inputs!B32</f>
        <v>16500</v>
      </c>
      <c r="E13" s="25" t="n">
        <f aca="false">IF(70&lt;65,Inputs!B35*12,0)</f>
        <v>0</v>
      </c>
      <c r="F13" s="25" t="n">
        <f aca="false">Inputs!B33*12*(1+Inputs!B34)^10</f>
        <v>3616.14607144592</v>
      </c>
      <c r="G13" s="38" t="n">
        <f aca="false">B13+C13+D13+E13+F13</f>
        <v>169005.121936352</v>
      </c>
      <c r="H13" s="25" t="n">
        <f aca="false">IF(75&gt;=Inputs!B25,IF(Inputs!B25=65,Inputs!B22*12,IF(Inputs!B25=70,Inputs!B24*12,Inputs!B23*12))*(1+Inputs!B21)^MAX(0,75-Inputs!B25),0)</f>
        <v>58073.9557069127</v>
      </c>
      <c r="I13" s="25" t="n">
        <f aca="false">IF(70&gt;=Inputs!B26,Inputs!B23*12*0.5*(1+Inputs!B21)^MAX(0,70-Inputs!B26),0)</f>
        <v>26963.7205296094</v>
      </c>
      <c r="J13" s="25" t="n">
        <f aca="false">'Roth Conversion'!E13</f>
        <v>121687.137649124</v>
      </c>
      <c r="K13" s="25" t="n">
        <f aca="false">MAX(0,G13-H13-I13-J13)*0.4</f>
        <v>0</v>
      </c>
      <c r="L13" s="25" t="n">
        <f aca="false">MAX(0,G13-H13-I13-J13-K13)</f>
        <v>0</v>
      </c>
      <c r="M13" s="25" t="n">
        <f aca="false">F13</f>
        <v>3616.14607144592</v>
      </c>
      <c r="N13" s="25" t="n">
        <f aca="false">MAX(0,IF((J13+H13*Inputs!B43)&lt;=23200,(J13+H13*Inputs!B43)*0.1,IF((J13+H13*Inputs!B43)&lt;=94300,23200*0.1+((J13+H13*Inputs!B43)-23200)*0.12,IF((J13+H13*Inputs!B43)&lt;=201050,23200*0.1+71100*0.12+((J13+H13*Inputs!B43)-94300)*0.22,23200*0.1+71100*0.12+106750*0.22+((J13+H13*Inputs!B43)-201050)*0.24))))</f>
        <v>27737</v>
      </c>
      <c r="O13" s="25" t="n">
        <f aca="false">J13*0.0637</f>
        <v>7751.47066824921</v>
      </c>
      <c r="P13" s="39" t="n">
        <f aca="false">H13+I13+J13+K13+L13-G13-N13-O13</f>
        <v>2231.22128104485</v>
      </c>
    </row>
    <row r="14" customFormat="false" ht="15" hidden="false" customHeight="true" outlineLevel="0" collapsed="false">
      <c r="A14" s="18" t="n">
        <v>76</v>
      </c>
      <c r="B14" s="25" t="n">
        <f aca="false">Inputs!B29*12*(1+Inputs!B20)^11</f>
        <v>116275.645140853</v>
      </c>
      <c r="C14" s="25" t="n">
        <f aca="false">IF(Inputs!B51=1,0,IF((VALUE(A14)-Inputs!B5)&gt;=MAX(0,Inputs!B48-(Inputs!B5-Inputs!B4)),0,Inputs!B30*12))</f>
        <v>36000</v>
      </c>
      <c r="D14" s="25" t="n">
        <f aca="false">Inputs!B31+Inputs!B32</f>
        <v>16500</v>
      </c>
      <c r="E14" s="25" t="n">
        <f aca="false">IF(71&lt;65,Inputs!B35*12,0)</f>
        <v>0</v>
      </c>
      <c r="F14" s="25" t="n">
        <f aca="false">Inputs!B33*12*(1+Inputs!B34)^11</f>
        <v>3796.95337501822</v>
      </c>
      <c r="G14" s="38" t="n">
        <f aca="false">B14+C14+D14+E14+F14</f>
        <v>172572.598515872</v>
      </c>
      <c r="H14" s="25" t="n">
        <f aca="false">IF(76&gt;=Inputs!B25,IF(Inputs!B25=65,Inputs!B22*12,IF(Inputs!B25=70,Inputs!B24*12,Inputs!B23*12))*(1+Inputs!B21)^MAX(0,76-Inputs!B25),0)</f>
        <v>59525.8045995855</v>
      </c>
      <c r="I14" s="25" t="n">
        <f aca="false">IF(71&gt;=Inputs!B26,Inputs!B23*12*0.5*(1+Inputs!B21)^MAX(0,71-Inputs!B26),0)</f>
        <v>27637.8135428496</v>
      </c>
      <c r="J14" s="25" t="n">
        <f aca="false">'Roth Conversion'!E14</f>
        <v>120453.066090352</v>
      </c>
      <c r="K14" s="25" t="n">
        <f aca="false">MAX(0,G14-H14-I14-J14)*0.4</f>
        <v>0</v>
      </c>
      <c r="L14" s="25" t="n">
        <f aca="false">MAX(0,G14-H14-I14-J14-K14)</f>
        <v>0</v>
      </c>
      <c r="M14" s="25" t="n">
        <f aca="false">F14</f>
        <v>3796.95337501822</v>
      </c>
      <c r="N14" s="25" t="n">
        <f aca="false">MAX(0,IF((J14+H14*Inputs!B43)&lt;=23200,(J14+H14*Inputs!B43)*0.1,IF((J14+H14*Inputs!B43)&lt;=94300,23200*0.1+((J14+H14*Inputs!B43)-23200)*0.12,IF((J14+H14*Inputs!B43)&lt;=201050,23200*0.1+71100*0.12+((J14+H14*Inputs!B43)-94300)*0.22,23200*0.1+71100*0.12+106750*0.22+((J14+H14*Inputs!B43)-201050)*0.24))))</f>
        <v>27737</v>
      </c>
      <c r="O14" s="25" t="n">
        <f aca="false">J14*0.0637</f>
        <v>7672.86030995544</v>
      </c>
      <c r="P14" s="39" t="n">
        <f aca="false">H14+I14+J14+K14+L14-G14-N14-O14</f>
        <v>-365.774593039748</v>
      </c>
    </row>
    <row r="15" customFormat="false" ht="15" hidden="false" customHeight="true" outlineLevel="0" collapsed="false">
      <c r="A15" s="18" t="n">
        <v>77</v>
      </c>
      <c r="B15" s="25" t="n">
        <f aca="false">Inputs!B29*12*(1+Inputs!B20)^12</f>
        <v>119763.914495079</v>
      </c>
      <c r="C15" s="25" t="n">
        <f aca="false">IF(Inputs!B51=1,0,IF((VALUE(A15)-Inputs!B5)&gt;=MAX(0,Inputs!B48-(Inputs!B5-Inputs!B4)),0,Inputs!B30*12))</f>
        <v>36000</v>
      </c>
      <c r="D15" s="25" t="n">
        <f aca="false">Inputs!B31+Inputs!B32</f>
        <v>16500</v>
      </c>
      <c r="E15" s="25" t="n">
        <f aca="false">IF(72&lt;65,Inputs!B35*12,0)</f>
        <v>0</v>
      </c>
      <c r="F15" s="25" t="n">
        <f aca="false">Inputs!B33*12*(1+Inputs!B34)^12</f>
        <v>3986.80104376913</v>
      </c>
      <c r="G15" s="38" t="n">
        <f aca="false">B15+C15+D15+E15+F15</f>
        <v>176250.715538848</v>
      </c>
      <c r="H15" s="25" t="n">
        <f aca="false">IF(77&gt;=Inputs!B25,IF(Inputs!B25=65,Inputs!B22*12,IF(Inputs!B25=70,Inputs!B24*12,Inputs!B23*12))*(1+Inputs!B21)^MAX(0,77-Inputs!B25),0)</f>
        <v>61013.9497145751</v>
      </c>
      <c r="I15" s="25" t="n">
        <f aca="false">IF(72&gt;=Inputs!B26,Inputs!B23*12*0.5*(1+Inputs!B21)^MAX(0,72-Inputs!B26),0)</f>
        <v>28328.7588814208</v>
      </c>
      <c r="J15" s="25" t="n">
        <f aca="false">'Roth Conversion'!E15</f>
        <v>119188.142742611</v>
      </c>
      <c r="K15" s="25" t="n">
        <f aca="false">MAX(0,G15-H15-I15-J15)*0.4</f>
        <v>0</v>
      </c>
      <c r="L15" s="25" t="n">
        <f aca="false">MAX(0,G15-H15-I15-J15-K15)</f>
        <v>0</v>
      </c>
      <c r="M15" s="25" t="n">
        <f aca="false">F15</f>
        <v>3986.80104376913</v>
      </c>
      <c r="N15" s="25" t="n">
        <f aca="false">MAX(0,IF((J15+H15*Inputs!B43)&lt;=23200,(J15+H15*Inputs!B43)*0.1,IF((J15+H15*Inputs!B43)&lt;=94300,23200*0.1+((J15+H15*Inputs!B43)-23200)*0.12,IF((J15+H15*Inputs!B43)&lt;=201050,23200*0.1+71100*0.12+((J15+H15*Inputs!B43)-94300)*0.22,23200*0.1+71100*0.12+106750*0.22+((J15+H15*Inputs!B43)-201050)*0.24))))</f>
        <v>27737</v>
      </c>
      <c r="O15" s="25" t="n">
        <f aca="false">J15*0.0637</f>
        <v>7592.28469270433</v>
      </c>
      <c r="P15" s="39" t="n">
        <f aca="false">H15+I15+J15+K15+L15-G15-N15-O15</f>
        <v>-3049.14889294547</v>
      </c>
    </row>
    <row r="16" customFormat="false" ht="15" hidden="false" customHeight="true" outlineLevel="0" collapsed="false">
      <c r="A16" s="18" t="n">
        <v>78</v>
      </c>
      <c r="B16" s="25" t="n">
        <f aca="false">Inputs!B29*12*(1+Inputs!B20)^13</f>
        <v>123356.831929931</v>
      </c>
      <c r="C16" s="25" t="n">
        <f aca="false">IF(Inputs!B51=1,0,IF((VALUE(A16)-Inputs!B5)&gt;=MAX(0,Inputs!B48-(Inputs!B5-Inputs!B4)),0,Inputs!B30*12))</f>
        <v>0</v>
      </c>
      <c r="D16" s="25" t="n">
        <f aca="false">Inputs!B31+Inputs!B32</f>
        <v>16500</v>
      </c>
      <c r="E16" s="25" t="n">
        <f aca="false">IF(73&lt;65,Inputs!B35*12,0)</f>
        <v>0</v>
      </c>
      <c r="F16" s="25" t="n">
        <f aca="false">Inputs!B33*12*(1+Inputs!B34)^13</f>
        <v>4186.14109595759</v>
      </c>
      <c r="G16" s="38" t="n">
        <f aca="false">B16+C16+D16+E16+F16</f>
        <v>144042.973025889</v>
      </c>
      <c r="H16" s="25" t="n">
        <f aca="false">IF(78&gt;=Inputs!B25,IF(Inputs!B25=65,Inputs!B22*12,IF(Inputs!B25=70,Inputs!B24*12,Inputs!B23*12))*(1+Inputs!B21)^MAX(0,78-Inputs!B25),0)</f>
        <v>62539.2984574395</v>
      </c>
      <c r="I16" s="25" t="n">
        <f aca="false">IF(73&gt;=Inputs!B26,Inputs!B23*12*0.5*(1+Inputs!B21)^MAX(0,73-Inputs!B26),0)</f>
        <v>29036.9778534564</v>
      </c>
      <c r="J16" s="25" t="n">
        <f aca="false">'Roth Conversion'!E16</f>
        <v>117891.596311176</v>
      </c>
      <c r="K16" s="25" t="n">
        <f aca="false">MAX(0,G16-H16-I16-J16)*0.4</f>
        <v>0</v>
      </c>
      <c r="L16" s="25" t="n">
        <f aca="false">MAX(0,G16-H16-I16-J16-K16)</f>
        <v>0</v>
      </c>
      <c r="M16" s="25" t="n">
        <f aca="false">F16</f>
        <v>4186.14109595759</v>
      </c>
      <c r="N16" s="25" t="n">
        <f aca="false">MAX(0,IF((J16+H16*Inputs!B43)&lt;=23200,(J16+H16*Inputs!B43)*0.1,IF((J16+H16*Inputs!B43)&lt;=94300,23200*0.1+((J16+H16*Inputs!B43)-23200)*0.12,IF((J16+H16*Inputs!B43)&lt;=201050,23200*0.1+71100*0.12+((J16+H16*Inputs!B43)-94300)*0.22,23200*0.1+71100*0.12+106750*0.22+((J16+H16*Inputs!B43)-201050)*0.24))))</f>
        <v>27737</v>
      </c>
      <c r="O16" s="25" t="n">
        <f aca="false">J16*0.0637</f>
        <v>7509.69468502194</v>
      </c>
      <c r="P16" s="39" t="n">
        <f aca="false">H16+I16+J16+K16+L16-G16-N16-O16</f>
        <v>30178.2049111613</v>
      </c>
    </row>
    <row r="17" customFormat="false" ht="15" hidden="false" customHeight="true" outlineLevel="0" collapsed="false">
      <c r="A17" s="18" t="n">
        <v>79</v>
      </c>
      <c r="B17" s="25" t="n">
        <f aca="false">Inputs!B29*12*(1+Inputs!B20)^14</f>
        <v>127057.536887829</v>
      </c>
      <c r="C17" s="25" t="n">
        <f aca="false">IF(Inputs!B51=1,0,IF((VALUE(A17)-Inputs!B5)&gt;=MAX(0,Inputs!B48-(Inputs!B5-Inputs!B4)),0,Inputs!B30*12))</f>
        <v>0</v>
      </c>
      <c r="D17" s="25" t="n">
        <f aca="false">Inputs!B31+Inputs!B32</f>
        <v>16500</v>
      </c>
      <c r="E17" s="25" t="n">
        <f aca="false">IF(74&lt;65,Inputs!B35*12,0)</f>
        <v>0</v>
      </c>
      <c r="F17" s="25" t="n">
        <f aca="false">Inputs!B33*12*(1+Inputs!B34)^14</f>
        <v>4395.44815075547</v>
      </c>
      <c r="G17" s="38" t="n">
        <f aca="false">B17+C17+D17+E17+F17</f>
        <v>147952.985038585</v>
      </c>
      <c r="H17" s="25" t="n">
        <f aca="false">IF(79&gt;=Inputs!B25,IF(Inputs!B25=65,Inputs!B22*12,IF(Inputs!B25=70,Inputs!B24*12,Inputs!B23*12))*(1+Inputs!B21)^MAX(0,79-Inputs!B25),0)</f>
        <v>64102.7809188755</v>
      </c>
      <c r="I17" s="25" t="n">
        <f aca="false">IF(74&gt;=Inputs!B26,Inputs!B23*12*0.5*(1+Inputs!B21)^MAX(0,74-Inputs!B26),0)</f>
        <v>29762.9022997928</v>
      </c>
      <c r="J17" s="25" t="n">
        <f aca="false">'Roth Conversion'!E17</f>
        <v>116562.636218956</v>
      </c>
      <c r="K17" s="25" t="n">
        <f aca="false">MAX(0,G17-H17-I17-J17)*0.4</f>
        <v>0</v>
      </c>
      <c r="L17" s="25" t="n">
        <f aca="false">MAX(0,G17-H17-I17-J17-K17)</f>
        <v>0</v>
      </c>
      <c r="M17" s="25" t="n">
        <f aca="false">F17</f>
        <v>4395.44815075547</v>
      </c>
      <c r="N17" s="25" t="n">
        <f aca="false">MAX(0,IF((J17+H17*Inputs!B43)&lt;=23200,(J17+H17*Inputs!B43)*0.1,IF((J17+H17*Inputs!B43)&lt;=94300,23200*0.1+((J17+H17*Inputs!B43)-23200)*0.12,IF((J17+H17*Inputs!B43)&lt;=201050,23200*0.1+71100*0.12+((J17+H17*Inputs!B43)-94300)*0.22,23200*0.1+71100*0.12+106750*0.22+((J17+H17*Inputs!B43)-201050)*0.24))))</f>
        <v>27737</v>
      </c>
      <c r="O17" s="25" t="n">
        <f aca="false">J17*0.0637</f>
        <v>7425.03992714749</v>
      </c>
      <c r="P17" s="39" t="n">
        <f aca="false">H17+I17+J17+K17+L17-G17-N17-O17</f>
        <v>27313.2944718917</v>
      </c>
    </row>
    <row r="18" customFormat="false" ht="15" hidden="false" customHeight="true" outlineLevel="0" collapsed="false">
      <c r="A18" s="18" t="n">
        <v>80</v>
      </c>
      <c r="B18" s="25" t="n">
        <f aca="false">Inputs!B29*12*(1+Inputs!B20)^15</f>
        <v>130869.262994464</v>
      </c>
      <c r="C18" s="25" t="n">
        <f aca="false">IF(Inputs!B51=1,0,IF((VALUE(A18)-Inputs!B5)&gt;=MAX(0,Inputs!B48-(Inputs!B5-Inputs!B4)),0,Inputs!B30*12))</f>
        <v>0</v>
      </c>
      <c r="D18" s="25" t="n">
        <f aca="false">Inputs!B31+Inputs!B32</f>
        <v>16500</v>
      </c>
      <c r="E18" s="25" t="n">
        <f aca="false">IF(75&lt;65,Inputs!B35*12,0)</f>
        <v>0</v>
      </c>
      <c r="F18" s="25" t="n">
        <f aca="false">Inputs!B33*12*(1+Inputs!B34)^15</f>
        <v>4615.22055829324</v>
      </c>
      <c r="G18" s="38" t="n">
        <f aca="false">B18+C18+D18+E18+F18</f>
        <v>151984.483552758</v>
      </c>
      <c r="H18" s="25" t="n">
        <f aca="false">IF(80&gt;=Inputs!B25,IF(Inputs!B25=65,Inputs!B22*12,IF(Inputs!B25=70,Inputs!B24*12,Inputs!B23*12))*(1+Inputs!B21)^MAX(0,80-Inputs!B25),0)</f>
        <v>65705.3504418474</v>
      </c>
      <c r="I18" s="25" t="n">
        <f aca="false">IF(75&gt;=Inputs!B26,Inputs!B23*12*0.5*(1+Inputs!B21)^MAX(0,75-Inputs!B26),0)</f>
        <v>30506.9748572876</v>
      </c>
      <c r="J18" s="25" t="n">
        <f aca="false">'Roth Conversion'!E18</f>
        <v>115200.45212443</v>
      </c>
      <c r="K18" s="25" t="n">
        <f aca="false">MAX(0,G18-H18-I18-J18)*0.4</f>
        <v>0</v>
      </c>
      <c r="L18" s="25" t="n">
        <f aca="false">MAX(0,G18-H18-I18-J18-K18)</f>
        <v>0</v>
      </c>
      <c r="M18" s="25" t="n">
        <f aca="false">F18</f>
        <v>4615.22055829324</v>
      </c>
      <c r="N18" s="25" t="n">
        <f aca="false">MAX(0,IF((J18+H18*Inputs!B43)&lt;=23200,(J18+H18*Inputs!B43)*0.1,IF((J18+H18*Inputs!B43)&lt;=94300,23200*0.1+((J18+H18*Inputs!B43)-23200)*0.12,IF((J18+H18*Inputs!B43)&lt;=201050,23200*0.1+71100*0.12+((J18+H18*Inputs!B43)-94300)*0.22,23200*0.1+71100*0.12+106750*0.22+((J18+H18*Inputs!B43)-201050)*0.24))))</f>
        <v>27737</v>
      </c>
      <c r="O18" s="25" t="n">
        <f aca="false">J18*0.0637</f>
        <v>7338.26880032618</v>
      </c>
      <c r="P18" s="39" t="n">
        <f aca="false">H18+I18+J18+K18+L18-G18-N18-O18</f>
        <v>24353.025070481</v>
      </c>
    </row>
    <row r="19" customFormat="false" ht="15" hidden="false" customHeight="true" outlineLevel="0" collapsed="false">
      <c r="A19" s="18" t="n">
        <v>81</v>
      </c>
      <c r="B19" s="25" t="n">
        <f aca="false">Inputs!B29*12*(1+Inputs!B20)^16</f>
        <v>134795.340884298</v>
      </c>
      <c r="C19" s="25" t="n">
        <f aca="false">IF(Inputs!B51=1,0,IF((VALUE(A19)-Inputs!B5)&gt;=MAX(0,Inputs!B48-(Inputs!B5-Inputs!B4)),0,Inputs!B30*12))</f>
        <v>0</v>
      </c>
      <c r="D19" s="25" t="n">
        <f aca="false">Inputs!B31+Inputs!B32</f>
        <v>16500</v>
      </c>
      <c r="E19" s="25" t="n">
        <f aca="false">IF(76&lt;65,Inputs!B35*12,0)</f>
        <v>0</v>
      </c>
      <c r="F19" s="25" t="n">
        <f aca="false">Inputs!B33*12*(1+Inputs!B34)^16</f>
        <v>4845.9815862079</v>
      </c>
      <c r="G19" s="38" t="n">
        <f aca="false">B19+C19+D19+E19+F19</f>
        <v>156141.322470506</v>
      </c>
      <c r="H19" s="25" t="n">
        <f aca="false">IF(81&gt;=Inputs!B25,IF(Inputs!B25=65,Inputs!B22*12,IF(Inputs!B25=70,Inputs!B24*12,Inputs!B23*12))*(1+Inputs!B21)^MAX(0,81-Inputs!B25),0)</f>
        <v>67347.9842028936</v>
      </c>
      <c r="I19" s="25" t="n">
        <f aca="false">IF(76&gt;=Inputs!B26,Inputs!B23*12*0.5*(1+Inputs!B21)^MAX(0,76-Inputs!B26),0)</f>
        <v>31269.6492287198</v>
      </c>
      <c r="J19" s="25" t="n">
        <f aca="false">'Roth Conversion'!E19</f>
        <v>113804.21342754</v>
      </c>
      <c r="K19" s="25" t="n">
        <f aca="false">MAX(0,G19-H19-I19-J19)*0.4</f>
        <v>0</v>
      </c>
      <c r="L19" s="25" t="n">
        <f aca="false">MAX(0,G19-H19-I19-J19-K19)</f>
        <v>0</v>
      </c>
      <c r="M19" s="25" t="n">
        <f aca="false">F19</f>
        <v>4845.9815862079</v>
      </c>
      <c r="N19" s="25" t="n">
        <f aca="false">MAX(0,IF((J19+H19*Inputs!B43)&lt;=23200,(J19+H19*Inputs!B43)*0.1,IF((J19+H19*Inputs!B43)&lt;=94300,23200*0.1+((J19+H19*Inputs!B43)-23200)*0.12,IF((J19+H19*Inputs!B43)&lt;=201050,23200*0.1+71100*0.12+((J19+H19*Inputs!B43)-94300)*0.22,23200*0.1+71100*0.12+106750*0.22+((J19+H19*Inputs!B43)-201050)*0.24))))</f>
        <v>27737</v>
      </c>
      <c r="O19" s="25" t="n">
        <f aca="false">J19*0.0637</f>
        <v>7249.32839533433</v>
      </c>
      <c r="P19" s="39" t="n">
        <f aca="false">H19+I19+J19+K19+L19-G19-N19-O19</f>
        <v>21294.1959933134</v>
      </c>
    </row>
    <row r="20" customFormat="false" ht="15" hidden="false" customHeight="true" outlineLevel="0" collapsed="false">
      <c r="A20" s="18" t="n">
        <v>82</v>
      </c>
      <c r="B20" s="25" t="n">
        <f aca="false">Inputs!B29*12*(1+Inputs!B20)^17</f>
        <v>138839.201110827</v>
      </c>
      <c r="C20" s="25" t="n">
        <f aca="false">IF(Inputs!B51=1,0,IF((VALUE(A20)-Inputs!B5)&gt;=MAX(0,Inputs!B48-(Inputs!B5-Inputs!B4)),0,Inputs!B30*12))</f>
        <v>0</v>
      </c>
      <c r="D20" s="25" t="n">
        <f aca="false">Inputs!B31+Inputs!B32</f>
        <v>16500</v>
      </c>
      <c r="E20" s="25" t="n">
        <f aca="false">IF(77&lt;65,Inputs!B35*12,0)</f>
        <v>0</v>
      </c>
      <c r="F20" s="25" t="n">
        <f aca="false">Inputs!B33*12*(1+Inputs!B34)^17</f>
        <v>5088.2806655183</v>
      </c>
      <c r="G20" s="38" t="n">
        <f aca="false">B20+C20+D20+E20+F20</f>
        <v>160427.481776345</v>
      </c>
      <c r="H20" s="25" t="n">
        <f aca="false">IF(82&gt;=Inputs!B25,IF(Inputs!B25=65,Inputs!B22*12,IF(Inputs!B25=70,Inputs!B24*12,Inputs!B23*12))*(1+Inputs!B21)^MAX(0,82-Inputs!B25),0)</f>
        <v>69031.6838079659</v>
      </c>
      <c r="I20" s="25" t="n">
        <f aca="false">IF(77&gt;=Inputs!B26,Inputs!B23*12*0.5*(1+Inputs!B21)^MAX(0,77-Inputs!B26),0)</f>
        <v>32051.3904594378</v>
      </c>
      <c r="J20" s="25" t="n">
        <f aca="false">'Roth Conversion'!E20</f>
        <v>112373.068763229</v>
      </c>
      <c r="K20" s="25" t="n">
        <f aca="false">MAX(0,G20-H20-I20-J20)*0.4</f>
        <v>0</v>
      </c>
      <c r="L20" s="25" t="n">
        <f aca="false">MAX(0,G20-H20-I20-J20-K20)</f>
        <v>0</v>
      </c>
      <c r="M20" s="25" t="n">
        <f aca="false">F20</f>
        <v>5088.2806655183</v>
      </c>
      <c r="N20" s="25" t="n">
        <f aca="false">MAX(0,IF((J20+H20*Inputs!B43)&lt;=23200,(J20+H20*Inputs!B43)*0.1,IF((J20+H20*Inputs!B43)&lt;=94300,23200*0.1+((J20+H20*Inputs!B43)-23200)*0.12,IF((J20+H20*Inputs!B43)&lt;=201050,23200*0.1+71100*0.12+((J20+H20*Inputs!B43)-94300)*0.22,23200*0.1+71100*0.12+106750*0.22+((J20+H20*Inputs!B43)-201050)*0.24))))</f>
        <v>27737</v>
      </c>
      <c r="O20" s="25" t="n">
        <f aca="false">J20*0.0637</f>
        <v>7158.16448021769</v>
      </c>
      <c r="P20" s="39" t="n">
        <f aca="false">H20+I20+J20+K20+L20-G20-N20-O20</f>
        <v>18133.4967740695</v>
      </c>
    </row>
    <row r="21" customFormat="false" ht="15" hidden="false" customHeight="true" outlineLevel="0" collapsed="false">
      <c r="A21" s="18" t="n">
        <v>83</v>
      </c>
      <c r="B21" s="25" t="n">
        <f aca="false">Inputs!B29*12*(1+Inputs!B20)^18</f>
        <v>143004.377144152</v>
      </c>
      <c r="C21" s="25" t="n">
        <f aca="false">IF(Inputs!B51=1,0,IF((VALUE(A21)-Inputs!B5)&gt;=MAX(0,Inputs!B48-(Inputs!B5-Inputs!B4)),0,Inputs!B30*12))</f>
        <v>0</v>
      </c>
      <c r="D21" s="25" t="n">
        <f aca="false">Inputs!B31+Inputs!B32</f>
        <v>16500</v>
      </c>
      <c r="E21" s="25" t="n">
        <f aca="false">IF(78&lt;65,Inputs!B35*12,0)</f>
        <v>0</v>
      </c>
      <c r="F21" s="25" t="n">
        <f aca="false">Inputs!B33*12*(1+Inputs!B34)^18</f>
        <v>5342.69469879421</v>
      </c>
      <c r="G21" s="38" t="n">
        <f aca="false">B21+C21+D21+E21+F21</f>
        <v>164847.071842946</v>
      </c>
      <c r="H21" s="25" t="n">
        <f aca="false">IF(83&gt;=Inputs!B25,IF(Inputs!B25=65,Inputs!B22*12,IF(Inputs!B25=70,Inputs!B24*12,Inputs!B23*12))*(1+Inputs!B21)^MAX(0,83-Inputs!B25),0)</f>
        <v>70757.475903165</v>
      </c>
      <c r="I21" s="25" t="n">
        <f aca="false">IF(78&gt;=Inputs!B26,Inputs!B23*12*0.5*(1+Inputs!B21)^MAX(0,78-Inputs!B26),0)</f>
        <v>32852.6752209237</v>
      </c>
      <c r="J21" s="25" t="n">
        <f aca="false">'Roth Conversion'!E21</f>
        <v>110906.14548231</v>
      </c>
      <c r="K21" s="25" t="n">
        <f aca="false">MAX(0,G21-H21-I21-J21)*0.4</f>
        <v>0</v>
      </c>
      <c r="L21" s="25" t="n">
        <f aca="false">MAX(0,G21-H21-I21-J21-K21)</f>
        <v>0</v>
      </c>
      <c r="M21" s="25" t="n">
        <f aca="false">F21</f>
        <v>5342.69469879421</v>
      </c>
      <c r="N21" s="25" t="n">
        <f aca="false">MAX(0,IF((J21+H21*Inputs!B43)&lt;=23200,(J21+H21*Inputs!B43)*0.1,IF((J21+H21*Inputs!B43)&lt;=94300,23200*0.1+((J21+H21*Inputs!B43)-23200)*0.12,IF((J21+H21*Inputs!B43)&lt;=201050,23200*0.1+71100*0.12+((J21+H21*Inputs!B43)-94300)*0.22,23200*0.1+71100*0.12+106750*0.22+((J21+H21*Inputs!B43)-201050)*0.24))))</f>
        <v>27737</v>
      </c>
      <c r="O21" s="25" t="n">
        <f aca="false">J21*0.0637</f>
        <v>7064.72146722313</v>
      </c>
      <c r="P21" s="39" t="n">
        <f aca="false">H21+I21+J21+K21+L21-G21-N21-O21</f>
        <v>14867.5032962291</v>
      </c>
    </row>
    <row r="22" customFormat="false" ht="15" hidden="false" customHeight="true" outlineLevel="0" collapsed="false">
      <c r="A22" s="18" t="n">
        <v>84</v>
      </c>
      <c r="B22" s="25" t="n">
        <f aca="false">Inputs!B29*12*(1+Inputs!B20)^19</f>
        <v>147294.508458477</v>
      </c>
      <c r="C22" s="25" t="n">
        <f aca="false">IF(Inputs!B51=1,0,IF((VALUE(A22)-Inputs!B5)&gt;=MAX(0,Inputs!B48-(Inputs!B5-Inputs!B4)),0,Inputs!B30*12))</f>
        <v>0</v>
      </c>
      <c r="D22" s="25" t="n">
        <f aca="false">Inputs!B31+Inputs!B32</f>
        <v>16500</v>
      </c>
      <c r="E22" s="25" t="n">
        <f aca="false">IF(79&lt;65,Inputs!B35*12,0)</f>
        <v>0</v>
      </c>
      <c r="F22" s="25" t="n">
        <f aca="false">Inputs!B33*12*(1+Inputs!B34)^19</f>
        <v>5609.82943373392</v>
      </c>
      <c r="G22" s="38" t="n">
        <f aca="false">B22+C22+D22+E22+F22</f>
        <v>169404.33789221</v>
      </c>
      <c r="H22" s="25" t="n">
        <f aca="false">IF(84&gt;=Inputs!B25,IF(Inputs!B25=65,Inputs!B22*12,IF(Inputs!B25=70,Inputs!B24*12,Inputs!B23*12))*(1+Inputs!B21)^MAX(0,84-Inputs!B25),0)</f>
        <v>72526.4128007442</v>
      </c>
      <c r="I22" s="25" t="n">
        <f aca="false">IF(79&gt;=Inputs!B26,Inputs!B23*12*0.5*(1+Inputs!B21)^MAX(0,79-Inputs!B26),0)</f>
        <v>33673.9921014468</v>
      </c>
      <c r="J22" s="25" t="n">
        <f aca="false">'Roth Conversion'!E22</f>
        <v>109402.549119367</v>
      </c>
      <c r="K22" s="25" t="n">
        <f aca="false">MAX(0,G22-H22-I22-J22)*0.4</f>
        <v>0</v>
      </c>
      <c r="L22" s="25" t="n">
        <f aca="false">MAX(0,G22-H22-I22-J22-K22)</f>
        <v>0</v>
      </c>
      <c r="M22" s="25" t="n">
        <f aca="false">F22</f>
        <v>5609.82943373392</v>
      </c>
      <c r="N22" s="25" t="n">
        <f aca="false">MAX(0,IF((J22+H22*Inputs!B43)&lt;=23200,(J22+H22*Inputs!B43)*0.1,IF((J22+H22*Inputs!B43)&lt;=94300,23200*0.1+((J22+H22*Inputs!B43)-23200)*0.12,IF((J22+H22*Inputs!B43)&lt;=201050,23200*0.1+71100*0.12+((J22+H22*Inputs!B43)-94300)*0.22,23200*0.1+71100*0.12+106750*0.22+((J22+H22*Inputs!B43)-201050)*0.24))))</f>
        <v>27737</v>
      </c>
      <c r="O22" s="25" t="n">
        <f aca="false">J22*0.0637</f>
        <v>6968.94237890371</v>
      </c>
      <c r="P22" s="39" t="n">
        <f aca="false">H22+I22+J22+K22+L22-G22-N22-O22</f>
        <v>11492.6737504442</v>
      </c>
    </row>
    <row r="23" customFormat="false" ht="15" hidden="false" customHeight="true" outlineLevel="0" collapsed="false">
      <c r="A23" s="18" t="n">
        <v>85</v>
      </c>
      <c r="B23" s="25" t="n">
        <f aca="false">Inputs!B29*12*(1+Inputs!B20)^20</f>
        <v>151713.343712231</v>
      </c>
      <c r="C23" s="25" t="n">
        <f aca="false">IF(Inputs!B51=1,0,IF((VALUE(A23)-Inputs!B5)&gt;=MAX(0,Inputs!B48-(Inputs!B5-Inputs!B4)),0,Inputs!B30*12))</f>
        <v>0</v>
      </c>
      <c r="D23" s="25" t="n">
        <f aca="false">Inputs!B31+Inputs!B32</f>
        <v>16500</v>
      </c>
      <c r="E23" s="25" t="n">
        <f aca="false">IF(80&lt;65,Inputs!B35*12,0)</f>
        <v>0</v>
      </c>
      <c r="F23" s="25" t="n">
        <f aca="false">Inputs!B33*12*(1+Inputs!B34)^20</f>
        <v>5890.32090542062</v>
      </c>
      <c r="G23" s="38" t="n">
        <f aca="false">B23+C23+D23+E23+F23</f>
        <v>174103.664617651</v>
      </c>
      <c r="H23" s="25" t="n">
        <f aca="false">IF(85&gt;=Inputs!B25,IF(Inputs!B25=65,Inputs!B22*12,IF(Inputs!B25=70,Inputs!B24*12,Inputs!B23*12))*(1+Inputs!B21)^MAX(0,85-Inputs!B25),0)</f>
        <v>74339.5731207628</v>
      </c>
      <c r="I23" s="25" t="n">
        <f aca="false">IF(80&gt;=Inputs!B26,Inputs!B23*12*0.5*(1+Inputs!B21)^MAX(0,80-Inputs!B26),0)</f>
        <v>34515.8419039829</v>
      </c>
      <c r="J23" s="25" t="n">
        <f aca="false">'Roth Conversion'!E23</f>
        <v>107861.362847352</v>
      </c>
      <c r="K23" s="25" t="n">
        <f aca="false">MAX(0,G23-H23-I23-J23)*0.4</f>
        <v>0</v>
      </c>
      <c r="L23" s="25" t="n">
        <f aca="false">MAX(0,G23-H23-I23-J23-K23)</f>
        <v>0</v>
      </c>
      <c r="M23" s="25" t="n">
        <f aca="false">F23</f>
        <v>5890.32090542062</v>
      </c>
      <c r="N23" s="25" t="n">
        <f aca="false">MAX(0,IF((J23+H23*Inputs!B43)&lt;=23200,(J23+H23*Inputs!B43)*0.1,IF((J23+H23*Inputs!B43)&lt;=94300,23200*0.1+((J23+H23*Inputs!B43)-23200)*0.12,IF((J23+H23*Inputs!B43)&lt;=201050,23200*0.1+71100*0.12+((J23+H23*Inputs!B43)-94300)*0.22,23200*0.1+71100*0.12+106750*0.22+((J23+H23*Inputs!B43)-201050)*0.24))))</f>
        <v>27737</v>
      </c>
      <c r="O23" s="25" t="n">
        <f aca="false">J23*0.0637</f>
        <v>6870.7688133763</v>
      </c>
      <c r="P23" s="39" t="n">
        <f aca="false">H23+I23+J23+K23+L23-G23-N23-O23</f>
        <v>8005.34444106957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6"/>
    <col collapsed="false" customWidth="true" hidden="false" outlineLevel="0" max="3" min="3" style="1" width="9"/>
    <col collapsed="false" customWidth="true" hidden="false" outlineLevel="0" max="8" min="4" style="1" width="16"/>
    <col collapsed="false" customWidth="true" hidden="false" outlineLevel="0" max="9" min="9" style="1" width="14"/>
    <col collapsed="false" customWidth="true" hidden="false" outlineLevel="0" max="10" min="10" style="1" width="16"/>
    <col collapsed="false" customWidth="true" hidden="false" outlineLevel="0" max="11" min="11" style="1" width="2"/>
    <col collapsed="false" customWidth="true" hidden="false" outlineLevel="0" max="13" min="12" style="1" width="8"/>
  </cols>
  <sheetData>
    <row r="1" customFormat="false" ht="21.75" hidden="false" customHeight="true" outlineLevel="0" collapsed="false">
      <c r="A1" s="40" t="s">
        <v>92</v>
      </c>
      <c r="B1" s="40"/>
      <c r="C1" s="40"/>
      <c r="D1" s="40"/>
      <c r="E1" s="40"/>
      <c r="F1" s="40"/>
      <c r="G1" s="40"/>
      <c r="H1" s="40"/>
      <c r="I1" s="40"/>
      <c r="J1" s="40"/>
      <c r="L1" s="41" t="s">
        <v>93</v>
      </c>
    </row>
    <row r="2" customFormat="false" ht="36" hidden="false" customHeight="true" outlineLevel="0" collapsed="false">
      <c r="A2" s="42" t="s">
        <v>94</v>
      </c>
      <c r="B2" s="42"/>
      <c r="C2" s="42"/>
      <c r="D2" s="42"/>
      <c r="E2" s="42"/>
      <c r="F2" s="42"/>
      <c r="G2" s="42"/>
      <c r="H2" s="42"/>
      <c r="I2" s="42"/>
      <c r="J2" s="42"/>
    </row>
    <row r="3" customFormat="false" ht="36" hidden="false" customHeight="true" outlineLevel="0" collapsed="false">
      <c r="A3" s="43" t="s">
        <v>60</v>
      </c>
      <c r="B3" s="43" t="s">
        <v>95</v>
      </c>
      <c r="C3" s="43" t="s">
        <v>96</v>
      </c>
      <c r="D3" s="43" t="s">
        <v>97</v>
      </c>
      <c r="E3" s="43" t="s">
        <v>98</v>
      </c>
      <c r="F3" s="43" t="s">
        <v>99</v>
      </c>
      <c r="G3" s="43" t="s">
        <v>100</v>
      </c>
      <c r="H3" s="43" t="s">
        <v>101</v>
      </c>
      <c r="I3" s="43" t="s">
        <v>90</v>
      </c>
      <c r="J3" s="43" t="s">
        <v>102</v>
      </c>
    </row>
    <row r="4" customFormat="false" ht="15" hidden="false" customHeight="true" outlineLevel="0" collapsed="false">
      <c r="A4" s="44" t="n">
        <v>73</v>
      </c>
      <c r="B4" s="45" t="n">
        <f aca="false">'Roth Conversion'!B11</f>
        <v>1890395.32091377</v>
      </c>
      <c r="C4" s="46" t="n">
        <f aca="false">VLOOKUP(A4,L$4:M$16,2,0)</f>
        <v>26.5</v>
      </c>
      <c r="D4" s="45" t="n">
        <f aca="false">IFERROR(ROUND(B4/C4,0),0)</f>
        <v>71336</v>
      </c>
      <c r="E4" s="45" t="n">
        <f aca="false">'Roth Conversion'!E11</f>
        <v>124065.716977156</v>
      </c>
      <c r="F4" s="45" t="n">
        <f aca="false">MAX(0,D4-E4)</f>
        <v>0</v>
      </c>
      <c r="G4" s="45" t="n">
        <f aca="false">MAX(D4,E4)</f>
        <v>124065.716977156</v>
      </c>
      <c r="H4" s="45" t="n">
        <f aca="false">MAX(0,IF((G4+'Withdrawal Plan'!H11*Inputs!B43)&lt;=23200,(G4+'Withdrawal Plan'!H11*Inputs!B43)*0.1,IF((G4+'Withdrawal Plan'!H11*Inputs!B43)&lt;=94300,23200*0.1+(G4+'Withdrawal Plan'!H11*Inputs!B43-23200)*0.12,IF((G4+'Withdrawal Plan'!H11*Inputs!B43)&lt;=201050,23200*0.1+71100*0.12+(G4+'Withdrawal Plan'!H11*Inputs!B43-94300)*0.22,23200*0.1+71100*0.12+106750*0.22+(G4+'Withdrawal Plan'!H11*Inputs!B43-201050)*0.24))))</f>
        <v>27737</v>
      </c>
      <c r="I4" s="45" t="n">
        <f aca="false">ROUND(G4*0.0637,0)</f>
        <v>7903</v>
      </c>
      <c r="J4" s="45" t="n">
        <f aca="false">G4-H4-I4</f>
        <v>88425.7169771557</v>
      </c>
      <c r="L4" s="47" t="n">
        <v>73</v>
      </c>
      <c r="M4" s="48" t="n">
        <v>26.5</v>
      </c>
    </row>
    <row r="5" customFormat="false" ht="15" hidden="false" customHeight="true" outlineLevel="0" collapsed="false">
      <c r="A5" s="44" t="n">
        <v>74</v>
      </c>
      <c r="B5" s="49" t="n">
        <f aca="false">'Roth Conversion'!B12</f>
        <v>1766329.60393662</v>
      </c>
      <c r="C5" s="50" t="n">
        <f aca="false">VLOOKUP(A5,L$4:M$16,2,0)</f>
        <v>25.5</v>
      </c>
      <c r="D5" s="49" t="n">
        <f aca="false">IFERROR(ROUND(B5/C5,0),0)</f>
        <v>69268</v>
      </c>
      <c r="E5" s="49" t="n">
        <f aca="false">'Roth Conversion'!E12</f>
        <v>122891.109901585</v>
      </c>
      <c r="F5" s="49" t="n">
        <f aca="false">MAX(0,D5-E5)</f>
        <v>0</v>
      </c>
      <c r="G5" s="49" t="n">
        <f aca="false">MAX(D5,E5)</f>
        <v>122891.109901585</v>
      </c>
      <c r="H5" s="49" t="n">
        <f aca="false">MAX(0,IF((G5+'Withdrawal Plan'!H12*Inputs!B43)&lt;=23200,(G5+'Withdrawal Plan'!H12*Inputs!B43)*0.1,IF((G5+'Withdrawal Plan'!H12*Inputs!B43)&lt;=94300,23200*0.1+(G5+'Withdrawal Plan'!H12*Inputs!B43-23200)*0.12,IF((G5+'Withdrawal Plan'!H12*Inputs!B43)&lt;=201050,23200*0.1+71100*0.12+(G5+'Withdrawal Plan'!H12*Inputs!B43-94300)*0.22,23200*0.1+71100*0.12+106750*0.22+(G5+'Withdrawal Plan'!H12*Inputs!B43-201050)*0.24))))</f>
        <v>27737</v>
      </c>
      <c r="I5" s="49" t="n">
        <f aca="false">ROUND(G5*0.0637,0)</f>
        <v>7828</v>
      </c>
      <c r="J5" s="49" t="n">
        <f aca="false">G5-H5-I5</f>
        <v>87326.1099015846</v>
      </c>
      <c r="L5" s="47" t="n">
        <v>74</v>
      </c>
      <c r="M5" s="48" t="n">
        <v>25.5</v>
      </c>
    </row>
    <row r="6" customFormat="false" ht="15" hidden="false" customHeight="true" outlineLevel="0" collapsed="false">
      <c r="A6" s="44" t="n">
        <v>75</v>
      </c>
      <c r="B6" s="45" t="n">
        <f aca="false">'Roth Conversion'!B13</f>
        <v>1643438.49403503</v>
      </c>
      <c r="C6" s="46" t="n">
        <f aca="false">VLOOKUP(A6,L$4:M$16,2,0)</f>
        <v>24.6</v>
      </c>
      <c r="D6" s="45" t="n">
        <f aca="false">IFERROR(ROUND(B6/C6,0),0)</f>
        <v>66806</v>
      </c>
      <c r="E6" s="45" t="n">
        <f aca="false">'Roth Conversion'!E13</f>
        <v>121687.137649124</v>
      </c>
      <c r="F6" s="45" t="n">
        <f aca="false">MAX(0,D6-E6)</f>
        <v>0</v>
      </c>
      <c r="G6" s="45" t="n">
        <f aca="false">MAX(D6,E6)</f>
        <v>121687.137649124</v>
      </c>
      <c r="H6" s="45" t="n">
        <f aca="false">MAX(0,IF((G6+'Withdrawal Plan'!H13*Inputs!B43)&lt;=23200,(G6+'Withdrawal Plan'!H13*Inputs!B43)*0.1,IF((G6+'Withdrawal Plan'!H13*Inputs!B43)&lt;=94300,23200*0.1+(G6+'Withdrawal Plan'!H13*Inputs!B43-23200)*0.12,IF((G6+'Withdrawal Plan'!H13*Inputs!B43)&lt;=201050,23200*0.1+71100*0.12+(G6+'Withdrawal Plan'!H13*Inputs!B43-94300)*0.22,23200*0.1+71100*0.12+106750*0.22+(G6+'Withdrawal Plan'!H13*Inputs!B43-201050)*0.24))))</f>
        <v>27737</v>
      </c>
      <c r="I6" s="45" t="n">
        <f aca="false">ROUND(G6*0.0637,0)</f>
        <v>7751</v>
      </c>
      <c r="J6" s="45" t="n">
        <f aca="false">G6-H6-I6</f>
        <v>86199.1376491242</v>
      </c>
      <c r="L6" s="47" t="n">
        <v>75</v>
      </c>
      <c r="M6" s="48" t="n">
        <v>24.6</v>
      </c>
    </row>
    <row r="7" customFormat="false" ht="15" hidden="false" customHeight="true" outlineLevel="0" collapsed="false">
      <c r="A7" s="44" t="n">
        <v>76</v>
      </c>
      <c r="B7" s="49" t="n">
        <f aca="false">'Roth Conversion'!B14</f>
        <v>1521751.35638591</v>
      </c>
      <c r="C7" s="50" t="n">
        <f aca="false">VLOOKUP(A7,L$4:M$16,2,0)</f>
        <v>23.7</v>
      </c>
      <c r="D7" s="49" t="n">
        <f aca="false">IFERROR(ROUND(B7/C7,0),0)</f>
        <v>64209</v>
      </c>
      <c r="E7" s="49" t="n">
        <f aca="false">'Roth Conversion'!E14</f>
        <v>120453.066090352</v>
      </c>
      <c r="F7" s="49" t="n">
        <f aca="false">MAX(0,D7-E7)</f>
        <v>0</v>
      </c>
      <c r="G7" s="49" t="n">
        <f aca="false">MAX(D7,E7)</f>
        <v>120453.066090352</v>
      </c>
      <c r="H7" s="49" t="n">
        <f aca="false">MAX(0,IF((G7+'Withdrawal Plan'!H14*Inputs!B43)&lt;=23200,(G7+'Withdrawal Plan'!H14*Inputs!B43)*0.1,IF((G7+'Withdrawal Plan'!H14*Inputs!B43)&lt;=94300,23200*0.1+(G7+'Withdrawal Plan'!H14*Inputs!B43-23200)*0.12,IF((G7+'Withdrawal Plan'!H14*Inputs!B43)&lt;=201050,23200*0.1+71100*0.12+(G7+'Withdrawal Plan'!H14*Inputs!B43-94300)*0.22,23200*0.1+71100*0.12+106750*0.22+(G7+'Withdrawal Plan'!H14*Inputs!B43-201050)*0.24))))</f>
        <v>27737</v>
      </c>
      <c r="I7" s="49" t="n">
        <f aca="false">ROUND(G7*0.0637,0)</f>
        <v>7673</v>
      </c>
      <c r="J7" s="49" t="n">
        <f aca="false">G7-H7-I7</f>
        <v>85043.0660903523</v>
      </c>
      <c r="L7" s="47" t="n">
        <v>76</v>
      </c>
      <c r="M7" s="48" t="n">
        <v>23.7</v>
      </c>
    </row>
    <row r="8" customFormat="false" ht="15" hidden="false" customHeight="true" outlineLevel="0" collapsed="false">
      <c r="A8" s="44" t="n">
        <v>77</v>
      </c>
      <c r="B8" s="45" t="n">
        <f aca="false">'Roth Conversion'!B15</f>
        <v>1401298.29029556</v>
      </c>
      <c r="C8" s="46" t="n">
        <f aca="false">VLOOKUP(A8,L$4:M$16,2,0)</f>
        <v>22.9</v>
      </c>
      <c r="D8" s="45" t="n">
        <f aca="false">IFERROR(ROUND(B8/C8,0),0)</f>
        <v>61192</v>
      </c>
      <c r="E8" s="45" t="n">
        <f aca="false">'Roth Conversion'!E15</f>
        <v>119188.142742611</v>
      </c>
      <c r="F8" s="45" t="n">
        <f aca="false">MAX(0,D8-E8)</f>
        <v>0</v>
      </c>
      <c r="G8" s="45" t="n">
        <f aca="false">MAX(D8,E8)</f>
        <v>119188.142742611</v>
      </c>
      <c r="H8" s="45" t="n">
        <f aca="false">MAX(0,IF((G8+'Withdrawal Plan'!H15*Inputs!B43)&lt;=23200,(G8+'Withdrawal Plan'!H15*Inputs!B43)*0.1,IF((G8+'Withdrawal Plan'!H15*Inputs!B43)&lt;=94300,23200*0.1+(G8+'Withdrawal Plan'!H15*Inputs!B43-23200)*0.12,IF((G8+'Withdrawal Plan'!H15*Inputs!B43)&lt;=201050,23200*0.1+71100*0.12+(G8+'Withdrawal Plan'!H15*Inputs!B43-94300)*0.22,23200*0.1+71100*0.12+106750*0.22+(G8+'Withdrawal Plan'!H15*Inputs!B43-201050)*0.24))))</f>
        <v>27737</v>
      </c>
      <c r="I8" s="45" t="n">
        <f aca="false">ROUND(G8*0.0637,0)</f>
        <v>7592</v>
      </c>
      <c r="J8" s="45" t="n">
        <f aca="false">G8-H8-I8</f>
        <v>83859.1427426111</v>
      </c>
      <c r="L8" s="47" t="n">
        <v>77</v>
      </c>
      <c r="M8" s="48" t="n">
        <v>22.9</v>
      </c>
    </row>
    <row r="9" customFormat="false" ht="15" hidden="false" customHeight="true" outlineLevel="0" collapsed="false">
      <c r="A9" s="44" t="n">
        <v>78</v>
      </c>
      <c r="B9" s="49" t="n">
        <f aca="false">'Roth Conversion'!B16</f>
        <v>1282110.14755295</v>
      </c>
      <c r="C9" s="50" t="n">
        <f aca="false">VLOOKUP(A9,L$4:M$16,2,0)</f>
        <v>22</v>
      </c>
      <c r="D9" s="49" t="n">
        <f aca="false">IFERROR(ROUND(B9/C9,0),0)</f>
        <v>58278</v>
      </c>
      <c r="E9" s="49" t="n">
        <f aca="false">'Roth Conversion'!E16</f>
        <v>117891.596311176</v>
      </c>
      <c r="F9" s="49" t="n">
        <f aca="false">MAX(0,D9-E9)</f>
        <v>0</v>
      </c>
      <c r="G9" s="49" t="n">
        <f aca="false">MAX(D9,E9)</f>
        <v>117891.596311176</v>
      </c>
      <c r="H9" s="49" t="n">
        <f aca="false">MAX(0,IF((G9+'Withdrawal Plan'!H16*Inputs!B43)&lt;=23200,(G9+'Withdrawal Plan'!H16*Inputs!B43)*0.1,IF((G9+'Withdrawal Plan'!H16*Inputs!B43)&lt;=94300,23200*0.1+(G9+'Withdrawal Plan'!H16*Inputs!B43-23200)*0.12,IF((G9+'Withdrawal Plan'!H16*Inputs!B43)&lt;=201050,23200*0.1+71100*0.12+(G9+'Withdrawal Plan'!H16*Inputs!B43-94300)*0.22,23200*0.1+71100*0.12+106750*0.22+(G9+'Withdrawal Plan'!H16*Inputs!B43-201050)*0.24))))</f>
        <v>27737</v>
      </c>
      <c r="I9" s="49" t="n">
        <f aca="false">ROUND(G9*0.0637,0)</f>
        <v>7510</v>
      </c>
      <c r="J9" s="49" t="n">
        <f aca="false">G9-H9-I9</f>
        <v>82644.5963111764</v>
      </c>
      <c r="L9" s="47" t="n">
        <v>78</v>
      </c>
      <c r="M9" s="48" t="n">
        <v>22</v>
      </c>
    </row>
    <row r="10" customFormat="false" ht="15" hidden="false" customHeight="true" outlineLevel="0" collapsed="false">
      <c r="A10" s="44" t="n">
        <v>79</v>
      </c>
      <c r="B10" s="45" t="n">
        <f aca="false">'Roth Conversion'!B17</f>
        <v>1164218.55124177</v>
      </c>
      <c r="C10" s="46" t="n">
        <f aca="false">VLOOKUP(A10,L$4:M$16,2,0)</f>
        <v>21.1</v>
      </c>
      <c r="D10" s="45" t="n">
        <f aca="false">IFERROR(ROUND(B10/C10,0),0)</f>
        <v>55176</v>
      </c>
      <c r="E10" s="45" t="n">
        <f aca="false">'Roth Conversion'!E17</f>
        <v>116562.636218956</v>
      </c>
      <c r="F10" s="45" t="n">
        <f aca="false">MAX(0,D10-E10)</f>
        <v>0</v>
      </c>
      <c r="G10" s="45" t="n">
        <f aca="false">MAX(D10,E10)</f>
        <v>116562.636218956</v>
      </c>
      <c r="H10" s="45" t="n">
        <f aca="false">MAX(0,IF((G10+'Withdrawal Plan'!H17*Inputs!B43)&lt;=23200,(G10+'Withdrawal Plan'!H17*Inputs!B43)*0.1,IF((G10+'Withdrawal Plan'!H17*Inputs!B43)&lt;=94300,23200*0.1+(G10+'Withdrawal Plan'!H17*Inputs!B43-23200)*0.12,IF((G10+'Withdrawal Plan'!H17*Inputs!B43)&lt;=201050,23200*0.1+71100*0.12+(G10+'Withdrawal Plan'!H17*Inputs!B43-94300)*0.22,23200*0.1+71100*0.12+106750*0.22+(G10+'Withdrawal Plan'!H17*Inputs!B43-201050)*0.24))))</f>
        <v>27737</v>
      </c>
      <c r="I10" s="45" t="n">
        <f aca="false">ROUND(G10*0.0637,0)</f>
        <v>7425</v>
      </c>
      <c r="J10" s="45" t="n">
        <f aca="false">G10-H10-I10</f>
        <v>81400.6362189558</v>
      </c>
      <c r="L10" s="47" t="n">
        <v>79</v>
      </c>
      <c r="M10" s="48" t="n">
        <v>21.1</v>
      </c>
    </row>
    <row r="11" customFormat="false" ht="15" hidden="false" customHeight="true" outlineLevel="0" collapsed="false">
      <c r="A11" s="44" t="n">
        <v>80</v>
      </c>
      <c r="B11" s="49" t="n">
        <f aca="false">'Roth Conversion'!B18</f>
        <v>1047655.91502281</v>
      </c>
      <c r="C11" s="50" t="n">
        <f aca="false">VLOOKUP(A11,L$4:M$16,2,0)</f>
        <v>20.2</v>
      </c>
      <c r="D11" s="49" t="n">
        <f aca="false">IFERROR(ROUND(B11/C11,0),0)</f>
        <v>51864</v>
      </c>
      <c r="E11" s="49" t="n">
        <f aca="false">'Roth Conversion'!E18</f>
        <v>115200.45212443</v>
      </c>
      <c r="F11" s="49" t="n">
        <f aca="false">MAX(0,D11-E11)</f>
        <v>0</v>
      </c>
      <c r="G11" s="49" t="n">
        <f aca="false">MAX(D11,E11)</f>
        <v>115200.45212443</v>
      </c>
      <c r="H11" s="49" t="n">
        <f aca="false">MAX(0,IF((G11+'Withdrawal Plan'!H18*Inputs!B43)&lt;=23200,(G11+'Withdrawal Plan'!H18*Inputs!B43)*0.1,IF((G11+'Withdrawal Plan'!H18*Inputs!B43)&lt;=94300,23200*0.1+(G11+'Withdrawal Plan'!H18*Inputs!B43-23200)*0.12,IF((G11+'Withdrawal Plan'!H18*Inputs!B43)&lt;=201050,23200*0.1+71100*0.12+(G11+'Withdrawal Plan'!H18*Inputs!B43-94300)*0.22,23200*0.1+71100*0.12+106750*0.22+(G11+'Withdrawal Plan'!H18*Inputs!B43-201050)*0.24))))</f>
        <v>27737</v>
      </c>
      <c r="I11" s="49" t="n">
        <f aca="false">ROUND(G11*0.0637,0)</f>
        <v>7338</v>
      </c>
      <c r="J11" s="49" t="n">
        <f aca="false">G11-H11-I11</f>
        <v>80125.4521244298</v>
      </c>
      <c r="L11" s="47" t="n">
        <v>80</v>
      </c>
      <c r="M11" s="48" t="n">
        <v>20.2</v>
      </c>
    </row>
    <row r="12" customFormat="false" ht="15" hidden="false" customHeight="true" outlineLevel="0" collapsed="false">
      <c r="A12" s="44" t="n">
        <v>81</v>
      </c>
      <c r="B12" s="45" t="n">
        <f aca="false">'Roth Conversion'!B19</f>
        <v>932455.462898383</v>
      </c>
      <c r="C12" s="46" t="n">
        <f aca="false">VLOOKUP(A12,L$4:M$16,2,0)</f>
        <v>19.4</v>
      </c>
      <c r="D12" s="45" t="n">
        <f aca="false">IFERROR(ROUND(B12/C12,0),0)</f>
        <v>48065</v>
      </c>
      <c r="E12" s="45" t="n">
        <f aca="false">'Roth Conversion'!E19</f>
        <v>113804.21342754</v>
      </c>
      <c r="F12" s="45" t="n">
        <f aca="false">MAX(0,D12-E12)</f>
        <v>0</v>
      </c>
      <c r="G12" s="45" t="n">
        <f aca="false">MAX(D12,E12)</f>
        <v>113804.21342754</v>
      </c>
      <c r="H12" s="45" t="n">
        <f aca="false">MAX(0,IF((G12+'Withdrawal Plan'!H19*Inputs!B43)&lt;=23200,(G12+'Withdrawal Plan'!H19*Inputs!B43)*0.1,IF((G12+'Withdrawal Plan'!H19*Inputs!B43)&lt;=94300,23200*0.1+(G12+'Withdrawal Plan'!H19*Inputs!B43-23200)*0.12,IF((G12+'Withdrawal Plan'!H19*Inputs!B43)&lt;=201050,23200*0.1+71100*0.12+(G12+'Withdrawal Plan'!H19*Inputs!B43-94300)*0.22,23200*0.1+71100*0.12+106750*0.22+(G12+'Withdrawal Plan'!H19*Inputs!B43-201050)*0.24))))</f>
        <v>27737</v>
      </c>
      <c r="I12" s="45" t="n">
        <f aca="false">ROUND(G12*0.0637,0)</f>
        <v>7249</v>
      </c>
      <c r="J12" s="45" t="n">
        <f aca="false">G12-H12-I12</f>
        <v>78818.2134275405</v>
      </c>
      <c r="L12" s="47" t="n">
        <v>81</v>
      </c>
      <c r="M12" s="48" t="n">
        <v>19.4</v>
      </c>
    </row>
    <row r="13" customFormat="false" ht="15" hidden="false" customHeight="true" outlineLevel="0" collapsed="false">
      <c r="A13" s="44" t="n">
        <v>82</v>
      </c>
      <c r="B13" s="49" t="n">
        <f aca="false">'Roth Conversion'!B20</f>
        <v>818651.249470843</v>
      </c>
      <c r="C13" s="50" t="n">
        <f aca="false">VLOOKUP(A13,L$4:M$16,2,0)</f>
        <v>18.5</v>
      </c>
      <c r="D13" s="49" t="n">
        <f aca="false">IFERROR(ROUND(B13/C13,0),0)</f>
        <v>44251</v>
      </c>
      <c r="E13" s="49" t="n">
        <f aca="false">'Roth Conversion'!E20</f>
        <v>112373.068763229</v>
      </c>
      <c r="F13" s="49" t="n">
        <f aca="false">MAX(0,D13-E13)</f>
        <v>0</v>
      </c>
      <c r="G13" s="49" t="n">
        <f aca="false">MAX(D13,E13)</f>
        <v>112373.068763229</v>
      </c>
      <c r="H13" s="49" t="n">
        <f aca="false">MAX(0,IF((G13+'Withdrawal Plan'!H20*Inputs!B43)&lt;=23200,(G13+'Withdrawal Plan'!H20*Inputs!B43)*0.1,IF((G13+'Withdrawal Plan'!H20*Inputs!B43)&lt;=94300,23200*0.1+(G13+'Withdrawal Plan'!H20*Inputs!B43-23200)*0.12,IF((G13+'Withdrawal Plan'!H20*Inputs!B43)&lt;=201050,23200*0.1+71100*0.12+(G13+'Withdrawal Plan'!H20*Inputs!B43-94300)*0.22,23200*0.1+71100*0.12+106750*0.22+(G13+'Withdrawal Plan'!H20*Inputs!B43-201050)*0.24))))</f>
        <v>27737</v>
      </c>
      <c r="I13" s="49" t="n">
        <f aca="false">ROUND(G13*0.0637,0)</f>
        <v>7158</v>
      </c>
      <c r="J13" s="49" t="n">
        <f aca="false">G13-H13-I13</f>
        <v>77478.068763229</v>
      </c>
      <c r="L13" s="47" t="n">
        <v>82</v>
      </c>
      <c r="M13" s="48" t="n">
        <v>18.5</v>
      </c>
    </row>
    <row r="14" customFormat="false" ht="15" hidden="false" customHeight="true" outlineLevel="0" collapsed="false">
      <c r="A14" s="44" t="n">
        <v>83</v>
      </c>
      <c r="B14" s="45" t="n">
        <f aca="false">'Roth Conversion'!B21</f>
        <v>706278.180707614</v>
      </c>
      <c r="C14" s="46" t="n">
        <f aca="false">VLOOKUP(A14,L$4:M$16,2,0)</f>
        <v>17.7</v>
      </c>
      <c r="D14" s="45" t="n">
        <f aca="false">IFERROR(ROUND(B14/C14,0),0)</f>
        <v>39903</v>
      </c>
      <c r="E14" s="45" t="n">
        <f aca="false">'Roth Conversion'!E21</f>
        <v>110906.14548231</v>
      </c>
      <c r="F14" s="45" t="n">
        <f aca="false">MAX(0,D14-E14)</f>
        <v>0</v>
      </c>
      <c r="G14" s="45" t="n">
        <f aca="false">MAX(D14,E14)</f>
        <v>110906.14548231</v>
      </c>
      <c r="H14" s="45" t="n">
        <f aca="false">MAX(0,IF((G14+'Withdrawal Plan'!H21*Inputs!B43)&lt;=23200,(G14+'Withdrawal Plan'!H21*Inputs!B43)*0.1,IF((G14+'Withdrawal Plan'!H21*Inputs!B43)&lt;=94300,23200*0.1+(G14+'Withdrawal Plan'!H21*Inputs!B43-23200)*0.12,IF((G14+'Withdrawal Plan'!H21*Inputs!B43)&lt;=201050,23200*0.1+71100*0.12+(G14+'Withdrawal Plan'!H21*Inputs!B43-94300)*0.22,23200*0.1+71100*0.12+106750*0.22+(G14+'Withdrawal Plan'!H21*Inputs!B43-201050)*0.24))))</f>
        <v>27737</v>
      </c>
      <c r="I14" s="45" t="n">
        <f aca="false">ROUND(G14*0.0637,0)</f>
        <v>7065</v>
      </c>
      <c r="J14" s="45" t="n">
        <f aca="false">G14-H14-I14</f>
        <v>76104.1454823097</v>
      </c>
      <c r="L14" s="47" t="n">
        <v>83</v>
      </c>
      <c r="M14" s="48" t="n">
        <v>17.7</v>
      </c>
    </row>
    <row r="15" customFormat="false" ht="15" hidden="false" customHeight="true" outlineLevel="0" collapsed="false">
      <c r="A15" s="44" t="n">
        <v>84</v>
      </c>
      <c r="B15" s="49" t="n">
        <f aca="false">'Roth Conversion'!B22</f>
        <v>595372.035225304</v>
      </c>
      <c r="C15" s="50" t="n">
        <f aca="false">VLOOKUP(A15,L$4:M$16,2,0)</f>
        <v>16.8</v>
      </c>
      <c r="D15" s="49" t="n">
        <f aca="false">IFERROR(ROUND(B15/C15,0),0)</f>
        <v>35439</v>
      </c>
      <c r="E15" s="49" t="n">
        <f aca="false">'Roth Conversion'!E22</f>
        <v>109402.549119367</v>
      </c>
      <c r="F15" s="49" t="n">
        <f aca="false">MAX(0,D15-E15)</f>
        <v>0</v>
      </c>
      <c r="G15" s="49" t="n">
        <f aca="false">MAX(D15,E15)</f>
        <v>109402.549119367</v>
      </c>
      <c r="H15" s="49" t="n">
        <f aca="false">MAX(0,IF((G15+'Withdrawal Plan'!H22*Inputs!B43)&lt;=23200,(G15+'Withdrawal Plan'!H22*Inputs!B43)*0.1,IF((G15+'Withdrawal Plan'!H22*Inputs!B43)&lt;=94300,23200*0.1+(G15+'Withdrawal Plan'!H22*Inputs!B43-23200)*0.12,IF((G15+'Withdrawal Plan'!H22*Inputs!B43)&lt;=201050,23200*0.1+71100*0.12+(G15+'Withdrawal Plan'!H22*Inputs!B43-94300)*0.22,23200*0.1+71100*0.12+106750*0.22+(G15+'Withdrawal Plan'!H22*Inputs!B43-201050)*0.24))))</f>
        <v>27737</v>
      </c>
      <c r="I15" s="49" t="n">
        <f aca="false">ROUND(G15*0.0637,0)</f>
        <v>6969</v>
      </c>
      <c r="J15" s="49" t="n">
        <f aca="false">G15-H15-I15</f>
        <v>74696.5491193675</v>
      </c>
      <c r="L15" s="47" t="n">
        <v>84</v>
      </c>
      <c r="M15" s="48" t="n">
        <v>16.8</v>
      </c>
    </row>
    <row r="16" customFormat="false" ht="15" hidden="false" customHeight="true" outlineLevel="0" collapsed="false">
      <c r="A16" s="44" t="n">
        <v>85</v>
      </c>
      <c r="B16" s="45" t="n">
        <f aca="false">'Roth Conversion'!B23</f>
        <v>485969.486105936</v>
      </c>
      <c r="C16" s="46" t="n">
        <f aca="false">VLOOKUP(A16,L$4:M$16,2,0)</f>
        <v>16</v>
      </c>
      <c r="D16" s="45" t="n">
        <f aca="false">IFERROR(ROUND(B16/C16,0),0)</f>
        <v>30373</v>
      </c>
      <c r="E16" s="45" t="n">
        <f aca="false">'Roth Conversion'!E23</f>
        <v>107861.362847352</v>
      </c>
      <c r="F16" s="45" t="n">
        <f aca="false">MAX(0,D16-E16)</f>
        <v>0</v>
      </c>
      <c r="G16" s="45" t="n">
        <f aca="false">MAX(D16,E16)</f>
        <v>107861.362847352</v>
      </c>
      <c r="H16" s="45" t="n">
        <f aca="false">MAX(0,IF((G16+'Withdrawal Plan'!H23*Inputs!B43)&lt;=23200,(G16+'Withdrawal Plan'!H23*Inputs!B43)*0.1,IF((G16+'Withdrawal Plan'!H23*Inputs!B43)&lt;=94300,23200*0.1+(G16+'Withdrawal Plan'!H23*Inputs!B43-23200)*0.12,IF((G16+'Withdrawal Plan'!H23*Inputs!B43)&lt;=201050,23200*0.1+71100*0.12+(G16+'Withdrawal Plan'!H23*Inputs!B43-94300)*0.22,23200*0.1+71100*0.12+106750*0.22+(G16+'Withdrawal Plan'!H23*Inputs!B43-201050)*0.24))))</f>
        <v>27737</v>
      </c>
      <c r="I16" s="45" t="n">
        <f aca="false">ROUND(G16*0.0637,0)</f>
        <v>6871</v>
      </c>
      <c r="J16" s="45" t="n">
        <f aca="false">G16-H16-I16</f>
        <v>73253.3628473516</v>
      </c>
      <c r="L16" s="47" t="n">
        <v>85</v>
      </c>
      <c r="M16" s="48" t="n">
        <v>16</v>
      </c>
    </row>
    <row r="17" customFormat="false" ht="15" hidden="false" customHeight="true" outlineLevel="0" collapsed="false">
      <c r="A17" s="51" t="s">
        <v>103</v>
      </c>
      <c r="B17" s="52" t="n">
        <f aca="false">SUM(B4:B16)</f>
        <v>15255924.0937925</v>
      </c>
      <c r="C17" s="52" t="n">
        <f aca="false">SUM(C4:C16)</f>
        <v>274.9</v>
      </c>
      <c r="D17" s="52" t="n">
        <f aca="false">SUM(D4:D16)</f>
        <v>696160</v>
      </c>
      <c r="E17" s="52" t="n">
        <f aca="false">SUM(E4:E16)</f>
        <v>1512287.19765519</v>
      </c>
      <c r="F17" s="52" t="n">
        <f aca="false">SUM(F4:F16)</f>
        <v>0</v>
      </c>
      <c r="G17" s="52" t="n">
        <f aca="false">SUM(G4:G16)</f>
        <v>1512287.19765519</v>
      </c>
      <c r="H17" s="52" t="n">
        <f aca="false">SUM(H4:H16)</f>
        <v>360581</v>
      </c>
      <c r="I17" s="52" t="n">
        <f aca="false">SUM(I4:I16)</f>
        <v>96332</v>
      </c>
      <c r="J17" s="52" t="n">
        <f aca="false">SUM(J4:J16)</f>
        <v>1055374.19765519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6" min="2" style="1" width="13"/>
    <col collapsed="false" customWidth="true" hidden="false" outlineLevel="0" max="7" min="7" style="1" width="10"/>
    <col collapsed="false" customWidth="true" hidden="false" outlineLevel="0" max="8" min="8" style="1" width="13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9"/>
    <col collapsed="false" customWidth="true" hidden="false" outlineLevel="0" max="12" min="12" style="1" width="12"/>
    <col collapsed="false" customWidth="true" hidden="false" outlineLevel="0" max="13" min="13" style="1" width="13"/>
    <col collapsed="false" customWidth="true" hidden="false" outlineLevel="0" max="14" min="14" style="1" width="12"/>
  </cols>
  <sheetData>
    <row r="1" customFormat="false" ht="15" hidden="false" customHeight="true" outlineLevel="0" collapsed="false">
      <c r="A1" s="40" t="s">
        <v>104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customFormat="false" ht="30" hidden="false" customHeight="true" outlineLevel="0" collapsed="false">
      <c r="A2" s="42" t="s">
        <v>105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customFormat="false" ht="36" hidden="false" customHeight="true" outlineLevel="0" collapsed="false">
      <c r="A3" s="43" t="s">
        <v>60</v>
      </c>
      <c r="B3" s="43" t="s">
        <v>84</v>
      </c>
      <c r="C3" s="43" t="s">
        <v>85</v>
      </c>
      <c r="D3" s="43" t="s">
        <v>64</v>
      </c>
      <c r="E3" s="43" t="s">
        <v>106</v>
      </c>
      <c r="F3" s="43" t="s">
        <v>107</v>
      </c>
      <c r="G3" s="43" t="s">
        <v>108</v>
      </c>
      <c r="H3" s="43" t="s">
        <v>109</v>
      </c>
      <c r="I3" s="43" t="s">
        <v>110</v>
      </c>
      <c r="J3" s="43" t="s">
        <v>66</v>
      </c>
      <c r="K3" s="43" t="s">
        <v>67</v>
      </c>
      <c r="L3" s="43" t="s">
        <v>111</v>
      </c>
      <c r="M3" s="43" t="s">
        <v>112</v>
      </c>
      <c r="N3" s="43" t="s">
        <v>113</v>
      </c>
    </row>
    <row r="4" customFormat="false" ht="15" hidden="false" customHeight="true" outlineLevel="0" collapsed="false">
      <c r="A4" s="53" t="n">
        <v>65</v>
      </c>
      <c r="B4" s="45" t="n">
        <f aca="false">'Withdrawal Plan'!H3</f>
        <v>0</v>
      </c>
      <c r="C4" s="45" t="n">
        <f aca="false">'Withdrawal Plan'!I3</f>
        <v>0</v>
      </c>
      <c r="D4" s="45" t="n">
        <f aca="false">'Roth Conversion'!E3</f>
        <v>171050</v>
      </c>
      <c r="E4" s="45" t="n">
        <f aca="false">(B4+C4)*Inputs!B43</f>
        <v>0</v>
      </c>
      <c r="F4" s="45" t="n">
        <f aca="false">D4+E4</f>
        <v>171050</v>
      </c>
      <c r="G4" s="45" t="n">
        <f aca="false">Inputs!B42</f>
        <v>30000</v>
      </c>
      <c r="H4" s="45" t="n">
        <f aca="false">MAX(0,F4-G4)</f>
        <v>141050</v>
      </c>
      <c r="I4" s="54" t="str">
        <f aca="false">IF(H4&lt;=23200,"10%",IF(H4&lt;=94300,"12%",IF(H4&lt;=201050,"22%",IF(H4&lt;=383900,"24%","32%+"))))</f>
        <v>22%</v>
      </c>
      <c r="J4" s="45" t="n">
        <f aca="false">MAX(0,IF(H4&lt;=23200,H4*0.1,IF(H4&lt;=94300,23200*0.1+(H4-23200)*0.12,IF(H4&lt;=201050,23200*0.1+71100*0.12+(H4-94300)*0.22,23200*0.1+71100*0.12+106750*0.22+(H4-201050)*0.24))))</f>
        <v>21137</v>
      </c>
      <c r="K4" s="55" t="n">
        <f aca="false">IFERROR(J4/MAX(1,H4),0)</f>
        <v>0.149854661467565</v>
      </c>
      <c r="L4" s="54" t="str">
        <f aca="false">IF(F4&lt;=206000,"Base $0",IF(F4&lt;=258000,"T1 $594",IF(F4&lt;=322000,"T2 $1,488",IF(F4&lt;=386000,"T3 $2,382",IF(F4&lt;=750000,"T4 $3,276","T5 $4,170")))))</f>
        <v>Base $0</v>
      </c>
      <c r="M4" s="45" t="n">
        <f aca="false">ROUND(D4*0.0637,0)</f>
        <v>10896</v>
      </c>
      <c r="N4" s="45" t="n">
        <f aca="false">J4+M4</f>
        <v>32033</v>
      </c>
    </row>
    <row r="5" customFormat="false" ht="15" hidden="false" customHeight="true" outlineLevel="0" collapsed="false">
      <c r="A5" s="56" t="n">
        <v>66</v>
      </c>
      <c r="B5" s="49" t="n">
        <f aca="false">'Withdrawal Plan'!H4</f>
        <v>0</v>
      </c>
      <c r="C5" s="49" t="n">
        <f aca="false">'Withdrawal Plan'!I4</f>
        <v>0</v>
      </c>
      <c r="D5" s="49" t="n">
        <f aca="false">'Roth Conversion'!E4</f>
        <v>171050</v>
      </c>
      <c r="E5" s="49" t="n">
        <f aca="false">(B5+C5)*Inputs!B43</f>
        <v>0</v>
      </c>
      <c r="F5" s="49" t="n">
        <f aca="false">D5+E5</f>
        <v>171050</v>
      </c>
      <c r="G5" s="49" t="n">
        <f aca="false">Inputs!B42</f>
        <v>30000</v>
      </c>
      <c r="H5" s="49" t="n">
        <f aca="false">MAX(0,F5-G5)</f>
        <v>141050</v>
      </c>
      <c r="I5" s="57" t="str">
        <f aca="false">IF(H5&lt;=23200,"10%",IF(H5&lt;=94300,"12%",IF(H5&lt;=201050,"22%",IF(H5&lt;=383900,"24%","32%+"))))</f>
        <v>22%</v>
      </c>
      <c r="J5" s="49" t="n">
        <f aca="false">MAX(0,IF(H5&lt;=23200,H5*0.1,IF(H5&lt;=94300,23200*0.1+(H5-23200)*0.12,IF(H5&lt;=201050,23200*0.1+71100*0.12+(H5-94300)*0.22,23200*0.1+71100*0.12+106750*0.22+(H5-201050)*0.24))))</f>
        <v>21137</v>
      </c>
      <c r="K5" s="58" t="n">
        <f aca="false">IFERROR(J5/MAX(1,H5),0)</f>
        <v>0.149854661467565</v>
      </c>
      <c r="L5" s="57" t="str">
        <f aca="false">IF(F5&lt;=206000,"Base $0",IF(F5&lt;=258000,"T1 $594",IF(F5&lt;=322000,"T2 $1,488",IF(F5&lt;=386000,"T3 $2,382",IF(F5&lt;=750000,"T4 $3,276","T5 $4,170")))))</f>
        <v>Base $0</v>
      </c>
      <c r="M5" s="49" t="n">
        <f aca="false">ROUND(D5*0.0637,0)</f>
        <v>10896</v>
      </c>
      <c r="N5" s="49" t="n">
        <f aca="false">J5+M5</f>
        <v>32033</v>
      </c>
    </row>
    <row r="6" customFormat="false" ht="15" hidden="false" customHeight="true" outlineLevel="0" collapsed="false">
      <c r="A6" s="53" t="n">
        <v>67</v>
      </c>
      <c r="B6" s="45" t="n">
        <f aca="false">'Withdrawal Plan'!H5</f>
        <v>47664</v>
      </c>
      <c r="C6" s="45" t="n">
        <f aca="false">'Withdrawal Plan'!I5</f>
        <v>0</v>
      </c>
      <c r="D6" s="45" t="n">
        <f aca="false">'Roth Conversion'!E5</f>
        <v>130535.6</v>
      </c>
      <c r="E6" s="45" t="n">
        <f aca="false">(B6+C6)*Inputs!B43</f>
        <v>40514.4</v>
      </c>
      <c r="F6" s="45" t="n">
        <f aca="false">D6+E6</f>
        <v>171050</v>
      </c>
      <c r="G6" s="45" t="n">
        <f aca="false">Inputs!B42</f>
        <v>30000</v>
      </c>
      <c r="H6" s="45" t="n">
        <f aca="false">MAX(0,F6-G6)</f>
        <v>141050</v>
      </c>
      <c r="I6" s="54" t="str">
        <f aca="false">IF(H6&lt;=23200,"10%",IF(H6&lt;=94300,"12%",IF(H6&lt;=201050,"22%",IF(H6&lt;=383900,"24%","32%+"))))</f>
        <v>22%</v>
      </c>
      <c r="J6" s="45" t="n">
        <f aca="false">MAX(0,IF(H6&lt;=23200,H6*0.1,IF(H6&lt;=94300,23200*0.1+(H6-23200)*0.12,IF(H6&lt;=201050,23200*0.1+71100*0.12+(H6-94300)*0.22,23200*0.1+71100*0.12+106750*0.22+(H6-201050)*0.24))))</f>
        <v>21137</v>
      </c>
      <c r="K6" s="55" t="n">
        <f aca="false">IFERROR(J6/MAX(1,H6),0)</f>
        <v>0.149854661467565</v>
      </c>
      <c r="L6" s="54" t="str">
        <f aca="false">IF(F6&lt;=206000,"Base $0",IF(F6&lt;=258000,"T1 $594",IF(F6&lt;=322000,"T2 $1,488",IF(F6&lt;=386000,"T3 $2,382",IF(F6&lt;=750000,"T4 $3,276","T5 $4,170")))))</f>
        <v>Base $0</v>
      </c>
      <c r="M6" s="45" t="n">
        <f aca="false">ROUND(D6*0.0637,0)</f>
        <v>8315</v>
      </c>
      <c r="N6" s="45" t="n">
        <f aca="false">J6+M6</f>
        <v>29452</v>
      </c>
    </row>
    <row r="7" customFormat="false" ht="15" hidden="false" customHeight="true" outlineLevel="0" collapsed="false">
      <c r="A7" s="56" t="n">
        <v>68</v>
      </c>
      <c r="B7" s="49" t="n">
        <f aca="false">'Withdrawal Plan'!H6</f>
        <v>48855.6</v>
      </c>
      <c r="C7" s="49" t="n">
        <f aca="false">'Withdrawal Plan'!I6</f>
        <v>0</v>
      </c>
      <c r="D7" s="49" t="n">
        <f aca="false">'Roth Conversion'!E6</f>
        <v>129522.74</v>
      </c>
      <c r="E7" s="49" t="n">
        <f aca="false">(B7+C7)*Inputs!B43</f>
        <v>41527.26</v>
      </c>
      <c r="F7" s="49" t="n">
        <f aca="false">D7+E7</f>
        <v>171050</v>
      </c>
      <c r="G7" s="49" t="n">
        <f aca="false">Inputs!B42</f>
        <v>30000</v>
      </c>
      <c r="H7" s="49" t="n">
        <f aca="false">MAX(0,F7-G7)</f>
        <v>141050</v>
      </c>
      <c r="I7" s="57" t="str">
        <f aca="false">IF(H7&lt;=23200,"10%",IF(H7&lt;=94300,"12%",IF(H7&lt;=201050,"22%",IF(H7&lt;=383900,"24%","32%+"))))</f>
        <v>22%</v>
      </c>
      <c r="J7" s="49" t="n">
        <f aca="false">MAX(0,IF(H7&lt;=23200,H7*0.1,IF(H7&lt;=94300,23200*0.1+(H7-23200)*0.12,IF(H7&lt;=201050,23200*0.1+71100*0.12+(H7-94300)*0.22,23200*0.1+71100*0.12+106750*0.22+(H7-201050)*0.24))))</f>
        <v>21137</v>
      </c>
      <c r="K7" s="58" t="n">
        <f aca="false">IFERROR(J7/MAX(1,H7),0)</f>
        <v>0.149854661467565</v>
      </c>
      <c r="L7" s="57" t="str">
        <f aca="false">IF(F7&lt;=206000,"Base $0",IF(F7&lt;=258000,"T1 $594",IF(F7&lt;=322000,"T2 $1,488",IF(F7&lt;=386000,"T3 $2,382",IF(F7&lt;=750000,"T4 $3,276","T5 $4,170")))))</f>
        <v>Base $0</v>
      </c>
      <c r="M7" s="49" t="n">
        <f aca="false">ROUND(D7*0.0637,0)</f>
        <v>8251</v>
      </c>
      <c r="N7" s="49" t="n">
        <f aca="false">J7+M7</f>
        <v>29388</v>
      </c>
    </row>
    <row r="8" customFormat="false" ht="15" hidden="false" customHeight="true" outlineLevel="0" collapsed="false">
      <c r="A8" s="53" t="n">
        <v>69</v>
      </c>
      <c r="B8" s="45" t="n">
        <f aca="false">'Withdrawal Plan'!H7</f>
        <v>50076.99</v>
      </c>
      <c r="C8" s="45" t="n">
        <f aca="false">'Withdrawal Plan'!I7</f>
        <v>0</v>
      </c>
      <c r="D8" s="45" t="n">
        <f aca="false">'Roth Conversion'!E7</f>
        <v>128484.5585</v>
      </c>
      <c r="E8" s="45" t="n">
        <f aca="false">(B8+C8)*Inputs!B43</f>
        <v>42565.4415</v>
      </c>
      <c r="F8" s="45" t="n">
        <f aca="false">D8+E8</f>
        <v>171050</v>
      </c>
      <c r="G8" s="45" t="n">
        <f aca="false">Inputs!B42</f>
        <v>30000</v>
      </c>
      <c r="H8" s="45" t="n">
        <f aca="false">MAX(0,F8-G8)</f>
        <v>141050</v>
      </c>
      <c r="I8" s="54" t="str">
        <f aca="false">IF(H8&lt;=23200,"10%",IF(H8&lt;=94300,"12%",IF(H8&lt;=201050,"22%",IF(H8&lt;=383900,"24%","32%+"))))</f>
        <v>22%</v>
      </c>
      <c r="J8" s="45" t="n">
        <f aca="false">MAX(0,IF(H8&lt;=23200,H8*0.1,IF(H8&lt;=94300,23200*0.1+(H8-23200)*0.12,IF(H8&lt;=201050,23200*0.1+71100*0.12+(H8-94300)*0.22,23200*0.1+71100*0.12+106750*0.22+(H8-201050)*0.24))))</f>
        <v>21137</v>
      </c>
      <c r="K8" s="55" t="n">
        <f aca="false">IFERROR(J8/MAX(1,H8),0)</f>
        <v>0.149854661467565</v>
      </c>
      <c r="L8" s="54" t="str">
        <f aca="false">IF(F8&lt;=206000,"Base $0",IF(F8&lt;=258000,"T1 $594",IF(F8&lt;=322000,"T2 $1,488",IF(F8&lt;=386000,"T3 $2,382",IF(F8&lt;=750000,"T4 $3,276","T5 $4,170")))))</f>
        <v>Base $0</v>
      </c>
      <c r="M8" s="45" t="n">
        <f aca="false">ROUND(D8*0.0637,0)</f>
        <v>8184</v>
      </c>
      <c r="N8" s="45" t="n">
        <f aca="false">J8+M8</f>
        <v>29321</v>
      </c>
    </row>
    <row r="9" customFormat="false" ht="15" hidden="false" customHeight="true" outlineLevel="0" collapsed="false">
      <c r="A9" s="56" t="n">
        <v>70</v>
      </c>
      <c r="B9" s="49" t="n">
        <f aca="false">'Withdrawal Plan'!H8</f>
        <v>51328.91475</v>
      </c>
      <c r="C9" s="49" t="n">
        <f aca="false">'Withdrawal Plan'!I8</f>
        <v>23832</v>
      </c>
      <c r="D9" s="49" t="n">
        <f aca="false">'Roth Conversion'!E8</f>
        <v>127420.4224625</v>
      </c>
      <c r="E9" s="49" t="n">
        <f aca="false">(B9+C9)*Inputs!B43</f>
        <v>63886.7775375</v>
      </c>
      <c r="F9" s="49" t="n">
        <f aca="false">D9+E9</f>
        <v>191307.2</v>
      </c>
      <c r="G9" s="49" t="n">
        <f aca="false">Inputs!B42</f>
        <v>30000</v>
      </c>
      <c r="H9" s="49" t="n">
        <f aca="false">MAX(0,F9-G9)</f>
        <v>161307.2</v>
      </c>
      <c r="I9" s="57" t="str">
        <f aca="false">IF(H9&lt;=23200,"10%",IF(H9&lt;=94300,"12%",IF(H9&lt;=201050,"22%",IF(H9&lt;=383900,"24%","32%+"))))</f>
        <v>22%</v>
      </c>
      <c r="J9" s="49" t="n">
        <f aca="false">MAX(0,IF(H9&lt;=23200,H9*0.1,IF(H9&lt;=94300,23200*0.1+(H9-23200)*0.12,IF(H9&lt;=201050,23200*0.1+71100*0.12+(H9-94300)*0.22,23200*0.1+71100*0.12+106750*0.22+(H9-201050)*0.24))))</f>
        <v>25593.584</v>
      </c>
      <c r="K9" s="58" t="n">
        <f aca="false">IFERROR(J9/MAX(1,H9),0)</f>
        <v>0.158663618238987</v>
      </c>
      <c r="L9" s="57" t="str">
        <f aca="false">IF(F9&lt;=206000,"Base $0",IF(F9&lt;=258000,"T1 $594",IF(F9&lt;=322000,"T2 $1,488",IF(F9&lt;=386000,"T3 $2,382",IF(F9&lt;=750000,"T4 $3,276","T5 $4,170")))))</f>
        <v>Base $0</v>
      </c>
      <c r="M9" s="49" t="n">
        <f aca="false">ROUND(D9*0.0637,0)</f>
        <v>8117</v>
      </c>
      <c r="N9" s="49" t="n">
        <f aca="false">J9+M9</f>
        <v>33710.584</v>
      </c>
    </row>
    <row r="10" customFormat="false" ht="15" hidden="false" customHeight="true" outlineLevel="0" collapsed="false">
      <c r="A10" s="53" t="n">
        <v>71</v>
      </c>
      <c r="B10" s="45" t="n">
        <f aca="false">'Withdrawal Plan'!H9</f>
        <v>52612.13761875</v>
      </c>
      <c r="C10" s="45" t="n">
        <f aca="false">'Withdrawal Plan'!I9</f>
        <v>24427.8</v>
      </c>
      <c r="D10" s="45" t="n">
        <f aca="false">'Roth Conversion'!E9</f>
        <v>126329.683024063</v>
      </c>
      <c r="E10" s="45" t="n">
        <f aca="false">(B10+C10)*Inputs!B43</f>
        <v>65483.9469759375</v>
      </c>
      <c r="F10" s="45" t="n">
        <f aca="false">D10+E10</f>
        <v>191813.63</v>
      </c>
      <c r="G10" s="45" t="n">
        <f aca="false">Inputs!B42</f>
        <v>30000</v>
      </c>
      <c r="H10" s="45" t="n">
        <f aca="false">MAX(0,F10-G10)</f>
        <v>161813.63</v>
      </c>
      <c r="I10" s="54" t="str">
        <f aca="false">IF(H10&lt;=23200,"10%",IF(H10&lt;=94300,"12%",IF(H10&lt;=201050,"22%",IF(H10&lt;=383900,"24%","32%+"))))</f>
        <v>22%</v>
      </c>
      <c r="J10" s="45" t="n">
        <f aca="false">MAX(0,IF(H10&lt;=23200,H10*0.1,IF(H10&lt;=94300,23200*0.1+(H10-23200)*0.12,IF(H10&lt;=201050,23200*0.1+71100*0.12+(H10-94300)*0.22,23200*0.1+71100*0.12+106750*0.22+(H10-201050)*0.24))))</f>
        <v>25704.9986</v>
      </c>
      <c r="K10" s="55" t="n">
        <f aca="false">IFERROR(J10/MAX(1,H10),0)</f>
        <v>0.158855583426439</v>
      </c>
      <c r="L10" s="54" t="str">
        <f aca="false">IF(F10&lt;=206000,"Base $0",IF(F10&lt;=258000,"T1 $594",IF(F10&lt;=322000,"T2 $1,488",IF(F10&lt;=386000,"T3 $2,382",IF(F10&lt;=750000,"T4 $3,276","T5 $4,170")))))</f>
        <v>Base $0</v>
      </c>
      <c r="M10" s="45" t="n">
        <f aca="false">ROUND(D10*0.0637,0)</f>
        <v>8047</v>
      </c>
      <c r="N10" s="45" t="n">
        <f aca="false">J10+M10</f>
        <v>33751.9986</v>
      </c>
    </row>
    <row r="11" customFormat="false" ht="15" hidden="false" customHeight="true" outlineLevel="0" collapsed="false">
      <c r="A11" s="56" t="n">
        <v>72</v>
      </c>
      <c r="B11" s="49" t="n">
        <f aca="false">'Withdrawal Plan'!H10</f>
        <v>53927.4410592187</v>
      </c>
      <c r="C11" s="49" t="n">
        <f aca="false">'Withdrawal Plan'!I10</f>
        <v>25038.495</v>
      </c>
      <c r="D11" s="49" t="n">
        <f aca="false">'Roth Conversion'!E10</f>
        <v>125211.675099664</v>
      </c>
      <c r="E11" s="49" t="n">
        <f aca="false">(B11+C11)*Inputs!B43</f>
        <v>67121.0456503359</v>
      </c>
      <c r="F11" s="49" t="n">
        <f aca="false">D11+E11</f>
        <v>192332.72075</v>
      </c>
      <c r="G11" s="49" t="n">
        <f aca="false">Inputs!B42</f>
        <v>30000</v>
      </c>
      <c r="H11" s="49" t="n">
        <f aca="false">MAX(0,F11-G11)</f>
        <v>162332.72075</v>
      </c>
      <c r="I11" s="57" t="str">
        <f aca="false">IF(H11&lt;=23200,"10%",IF(H11&lt;=94300,"12%",IF(H11&lt;=201050,"22%",IF(H11&lt;=383900,"24%","32%+"))))</f>
        <v>22%</v>
      </c>
      <c r="J11" s="49" t="n">
        <f aca="false">MAX(0,IF(H11&lt;=23200,H11*0.1,IF(H11&lt;=94300,23200*0.1+(H11-23200)*0.12,IF(H11&lt;=201050,23200*0.1+71100*0.12+(H11-94300)*0.22,23200*0.1+71100*0.12+106750*0.22+(H11-201050)*0.24))))</f>
        <v>25819.198565</v>
      </c>
      <c r="K11" s="58" t="n">
        <f aca="false">IFERROR(J11/MAX(1,H11),0)</f>
        <v>0.159051104704656</v>
      </c>
      <c r="L11" s="57" t="str">
        <f aca="false">IF(F11&lt;=206000,"Base $0",IF(F11&lt;=258000,"T1 $594",IF(F11&lt;=322000,"T2 $1,488",IF(F11&lt;=386000,"T3 $2,382",IF(F11&lt;=750000,"T4 $3,276","T5 $4,170")))))</f>
        <v>Base $0</v>
      </c>
      <c r="M11" s="49" t="n">
        <f aca="false">ROUND(D11*0.0637,0)</f>
        <v>7976</v>
      </c>
      <c r="N11" s="49" t="n">
        <f aca="false">J11+M11</f>
        <v>33795.198565</v>
      </c>
    </row>
    <row r="12" customFormat="false" ht="15" hidden="false" customHeight="true" outlineLevel="0" collapsed="false">
      <c r="A12" s="44" t="n">
        <v>73</v>
      </c>
      <c r="B12" s="45" t="n">
        <f aca="false">'Withdrawal Plan'!H11</f>
        <v>55275.6270856992</v>
      </c>
      <c r="C12" s="45" t="n">
        <f aca="false">'Withdrawal Plan'!I11</f>
        <v>25664.457375</v>
      </c>
      <c r="D12" s="45" t="n">
        <f aca="false">'Roth Conversion'!E11</f>
        <v>124065.716977156</v>
      </c>
      <c r="E12" s="45" t="n">
        <f aca="false">(B12+C12)*Inputs!B43</f>
        <v>68799.0717915943</v>
      </c>
      <c r="F12" s="45" t="n">
        <f aca="false">D12+E12</f>
        <v>192864.78876875</v>
      </c>
      <c r="G12" s="45" t="n">
        <f aca="false">Inputs!B42</f>
        <v>30000</v>
      </c>
      <c r="H12" s="45" t="n">
        <f aca="false">MAX(0,F12-G12)</f>
        <v>162864.78876875</v>
      </c>
      <c r="I12" s="54" t="str">
        <f aca="false">IF(H12&lt;=23200,"10%",IF(H12&lt;=94300,"12%",IF(H12&lt;=201050,"22%",IF(H12&lt;=383900,"24%","32%+"))))</f>
        <v>22%</v>
      </c>
      <c r="J12" s="45" t="n">
        <f aca="false">MAX(0,IF(H12&lt;=23200,H12*0.1,IF(H12&lt;=94300,23200*0.1+(H12-23200)*0.12,IF(H12&lt;=201050,23200*0.1+71100*0.12+(H12-94300)*0.22,23200*0.1+71100*0.12+106750*0.22+(H12-201050)*0.24))))</f>
        <v>25936.253529125</v>
      </c>
      <c r="K12" s="55" t="n">
        <f aca="false">IFERROR(J12/MAX(1,H12),0)</f>
        <v>0.159250220536936</v>
      </c>
      <c r="L12" s="54" t="str">
        <f aca="false">IF(F12&lt;=206000,"Base $0",IF(F12&lt;=258000,"T1 $594",IF(F12&lt;=322000,"T2 $1,488",IF(F12&lt;=386000,"T3 $2,382",IF(F12&lt;=750000,"T4 $3,276","T5 $4,170")))))</f>
        <v>Base $0</v>
      </c>
      <c r="M12" s="45" t="n">
        <f aca="false">ROUND(D12*0.0637,0)</f>
        <v>7903</v>
      </c>
      <c r="N12" s="45" t="n">
        <f aca="false">J12+M12</f>
        <v>33839.253529125</v>
      </c>
    </row>
    <row r="13" customFormat="false" ht="15" hidden="false" customHeight="true" outlineLevel="0" collapsed="false">
      <c r="A13" s="44" t="n">
        <v>74</v>
      </c>
      <c r="B13" s="49" t="n">
        <f aca="false">'Withdrawal Plan'!H12</f>
        <v>56657.5177628417</v>
      </c>
      <c r="C13" s="49" t="n">
        <f aca="false">'Withdrawal Plan'!I12</f>
        <v>26306.068809375</v>
      </c>
      <c r="D13" s="49" t="n">
        <f aca="false">'Roth Conversion'!E12</f>
        <v>122891.109901585</v>
      </c>
      <c r="E13" s="49" t="n">
        <f aca="false">(B13+C13)*Inputs!B43</f>
        <v>70519.0485863842</v>
      </c>
      <c r="F13" s="49" t="n">
        <f aca="false">D13+E13</f>
        <v>193410.158487969</v>
      </c>
      <c r="G13" s="49" t="n">
        <f aca="false">Inputs!B42</f>
        <v>30000</v>
      </c>
      <c r="H13" s="49" t="n">
        <f aca="false">MAX(0,F13-G13)</f>
        <v>163410.158487969</v>
      </c>
      <c r="I13" s="57" t="str">
        <f aca="false">IF(H13&lt;=23200,"10%",IF(H13&lt;=94300,"12%",IF(H13&lt;=201050,"22%",IF(H13&lt;=383900,"24%","32%+"))))</f>
        <v>22%</v>
      </c>
      <c r="J13" s="49" t="n">
        <f aca="false">MAX(0,IF(H13&lt;=23200,H13*0.1,IF(H13&lt;=94300,23200*0.1+(H13-23200)*0.12,IF(H13&lt;=201050,23200*0.1+71100*0.12+(H13-94300)*0.22,23200*0.1+71100*0.12+106750*0.22+(H13-201050)*0.24))))</f>
        <v>26056.2348673531</v>
      </c>
      <c r="K13" s="58" t="n">
        <f aca="false">IFERROR(J13/MAX(1,H13),0)</f>
        <v>0.159452968581947</v>
      </c>
      <c r="L13" s="57" t="str">
        <f aca="false">IF(F13&lt;=206000,"Base $0",IF(F13&lt;=258000,"T1 $594",IF(F13&lt;=322000,"T2 $1,488",IF(F13&lt;=386000,"T3 $2,382",IF(F13&lt;=750000,"T4 $3,276","T5 $4,170")))))</f>
        <v>Base $0</v>
      </c>
      <c r="M13" s="49" t="n">
        <f aca="false">ROUND(D13*0.0637,0)</f>
        <v>7828</v>
      </c>
      <c r="N13" s="49" t="n">
        <f aca="false">J13+M13</f>
        <v>33884.2348673531</v>
      </c>
    </row>
    <row r="14" customFormat="false" ht="15" hidden="false" customHeight="true" outlineLevel="0" collapsed="false">
      <c r="A14" s="44" t="n">
        <v>75</v>
      </c>
      <c r="B14" s="45" t="n">
        <f aca="false">'Withdrawal Plan'!H13</f>
        <v>58073.9557069127</v>
      </c>
      <c r="C14" s="45" t="n">
        <f aca="false">'Withdrawal Plan'!I13</f>
        <v>26963.7205296094</v>
      </c>
      <c r="D14" s="45" t="n">
        <f aca="false">'Roth Conversion'!E13</f>
        <v>121687.137649124</v>
      </c>
      <c r="E14" s="45" t="n">
        <f aca="false">(B14+C14)*Inputs!B43</f>
        <v>72282.0248010438</v>
      </c>
      <c r="F14" s="45" t="n">
        <f aca="false">D14+E14</f>
        <v>193969.162450168</v>
      </c>
      <c r="G14" s="45" t="n">
        <f aca="false">Inputs!B42</f>
        <v>30000</v>
      </c>
      <c r="H14" s="45" t="n">
        <f aca="false">MAX(0,F14-G14)</f>
        <v>163969.162450168</v>
      </c>
      <c r="I14" s="54" t="str">
        <f aca="false">IF(H14&lt;=23200,"10%",IF(H14&lt;=94300,"12%",IF(H14&lt;=201050,"22%",IF(H14&lt;=383900,"24%","32%+"))))</f>
        <v>22%</v>
      </c>
      <c r="J14" s="45" t="n">
        <f aca="false">MAX(0,IF(H14&lt;=23200,H14*0.1,IF(H14&lt;=94300,23200*0.1+(H14-23200)*0.12,IF(H14&lt;=201050,23200*0.1+71100*0.12+(H14-94300)*0.22,23200*0.1+71100*0.12+106750*0.22+(H14-201050)*0.24))))</f>
        <v>26179.2157390369</v>
      </c>
      <c r="K14" s="55" t="n">
        <f aca="false">IFERROR(J14/MAX(1,H14),0)</f>
        <v>0.159659385629863</v>
      </c>
      <c r="L14" s="54" t="str">
        <f aca="false">IF(F14&lt;=206000,"Base $0",IF(F14&lt;=258000,"T1 $594",IF(F14&lt;=322000,"T2 $1,488",IF(F14&lt;=386000,"T3 $2,382",IF(F14&lt;=750000,"T4 $3,276","T5 $4,170")))))</f>
        <v>Base $0</v>
      </c>
      <c r="M14" s="45" t="n">
        <f aca="false">ROUND(D14*0.0637,0)</f>
        <v>7751</v>
      </c>
      <c r="N14" s="45" t="n">
        <f aca="false">J14+M14</f>
        <v>33930.215739037</v>
      </c>
    </row>
    <row r="15" customFormat="false" ht="15" hidden="false" customHeight="true" outlineLevel="0" collapsed="false">
      <c r="A15" s="44" t="n">
        <v>76</v>
      </c>
      <c r="B15" s="49" t="n">
        <f aca="false">'Withdrawal Plan'!H14</f>
        <v>59525.8045995855</v>
      </c>
      <c r="C15" s="49" t="n">
        <f aca="false">'Withdrawal Plan'!I14</f>
        <v>27637.8135428496</v>
      </c>
      <c r="D15" s="49" t="n">
        <f aca="false">'Roth Conversion'!E14</f>
        <v>120453.066090352</v>
      </c>
      <c r="E15" s="49" t="n">
        <f aca="false">(B15+C15)*Inputs!B43</f>
        <v>74089.0754210698</v>
      </c>
      <c r="F15" s="49" t="n">
        <f aca="false">D15+E15</f>
        <v>194542.141511422</v>
      </c>
      <c r="G15" s="49" t="n">
        <f aca="false">Inputs!B42</f>
        <v>30000</v>
      </c>
      <c r="H15" s="49" t="n">
        <f aca="false">MAX(0,F15-G15)</f>
        <v>164542.141511422</v>
      </c>
      <c r="I15" s="57" t="str">
        <f aca="false">IF(H15&lt;=23200,"10%",IF(H15&lt;=94300,"12%",IF(H15&lt;=201050,"22%",IF(H15&lt;=383900,"24%","32%+"))))</f>
        <v>22%</v>
      </c>
      <c r="J15" s="49" t="n">
        <f aca="false">MAX(0,IF(H15&lt;=23200,H15*0.1,IF(H15&lt;=94300,23200*0.1+(H15-23200)*0.12,IF(H15&lt;=201050,23200*0.1+71100*0.12+(H15-94300)*0.22,23200*0.1+71100*0.12+106750*0.22+(H15-201050)*0.24))))</f>
        <v>26305.2711325129</v>
      </c>
      <c r="K15" s="58" t="n">
        <f aca="false">IFERROR(J15/MAX(1,H15),0)</f>
        <v>0.159869507536991</v>
      </c>
      <c r="L15" s="57" t="str">
        <f aca="false">IF(F15&lt;=206000,"Base $0",IF(F15&lt;=258000,"T1 $594",IF(F15&lt;=322000,"T2 $1,488",IF(F15&lt;=386000,"T3 $2,382",IF(F15&lt;=750000,"T4 $3,276","T5 $4,170")))))</f>
        <v>Base $0</v>
      </c>
      <c r="M15" s="49" t="n">
        <f aca="false">ROUND(D15*0.0637,0)</f>
        <v>7673</v>
      </c>
      <c r="N15" s="49" t="n">
        <f aca="false">J15+M15</f>
        <v>33978.2711325129</v>
      </c>
    </row>
    <row r="16" customFormat="false" ht="15" hidden="false" customHeight="true" outlineLevel="0" collapsed="false">
      <c r="A16" s="44" t="n">
        <v>77</v>
      </c>
      <c r="B16" s="45" t="n">
        <f aca="false">'Withdrawal Plan'!H15</f>
        <v>61013.9497145751</v>
      </c>
      <c r="C16" s="45" t="n">
        <f aca="false">'Withdrawal Plan'!I15</f>
        <v>28328.7588814208</v>
      </c>
      <c r="D16" s="45" t="n">
        <f aca="false">'Roth Conversion'!E15</f>
        <v>119188.142742611</v>
      </c>
      <c r="E16" s="45" t="n">
        <f aca="false">(B16+C16)*Inputs!B43</f>
        <v>75941.3023065966</v>
      </c>
      <c r="F16" s="45" t="n">
        <f aca="false">D16+E16</f>
        <v>195129.445049208</v>
      </c>
      <c r="G16" s="45" t="n">
        <f aca="false">Inputs!B42</f>
        <v>30000</v>
      </c>
      <c r="H16" s="45" t="n">
        <f aca="false">MAX(0,F16-G16)</f>
        <v>165129.445049208</v>
      </c>
      <c r="I16" s="54" t="str">
        <f aca="false">IF(H16&lt;=23200,"10%",IF(H16&lt;=94300,"12%",IF(H16&lt;=201050,"22%",IF(H16&lt;=383900,"24%","32%+"))))</f>
        <v>22%</v>
      </c>
      <c r="J16" s="45" t="n">
        <f aca="false">MAX(0,IF(H16&lt;=23200,H16*0.1,IF(H16&lt;=94300,23200*0.1+(H16-23200)*0.12,IF(H16&lt;=201050,23200*0.1+71100*0.12+(H16-94300)*0.22,23200*0.1+71100*0.12+106750*0.22+(H16-201050)*0.24))))</f>
        <v>26434.4779108257</v>
      </c>
      <c r="K16" s="55" t="n">
        <f aca="false">IFERROR(J16/MAX(1,H16),0)</f>
        <v>0.160083369158955</v>
      </c>
      <c r="L16" s="54" t="str">
        <f aca="false">IF(F16&lt;=206000,"Base $0",IF(F16&lt;=258000,"T1 $594",IF(F16&lt;=322000,"T2 $1,488",IF(F16&lt;=386000,"T3 $2,382",IF(F16&lt;=750000,"T4 $3,276","T5 $4,170")))))</f>
        <v>Base $0</v>
      </c>
      <c r="M16" s="45" t="n">
        <f aca="false">ROUND(D16*0.0637,0)</f>
        <v>7592</v>
      </c>
      <c r="N16" s="45" t="n">
        <f aca="false">J16+M16</f>
        <v>34026.4779108257</v>
      </c>
    </row>
    <row r="17" customFormat="false" ht="15" hidden="false" customHeight="true" outlineLevel="0" collapsed="false">
      <c r="A17" s="44" t="n">
        <v>78</v>
      </c>
      <c r="B17" s="49" t="n">
        <f aca="false">'Withdrawal Plan'!H16</f>
        <v>62539.2984574395</v>
      </c>
      <c r="C17" s="49" t="n">
        <f aca="false">'Withdrawal Plan'!I16</f>
        <v>29036.9778534564</v>
      </c>
      <c r="D17" s="49" t="n">
        <f aca="false">'Roth Conversion'!E16</f>
        <v>117891.596311176</v>
      </c>
      <c r="E17" s="49" t="n">
        <f aca="false">(B17+C17)*Inputs!B43</f>
        <v>77839.8348642615</v>
      </c>
      <c r="F17" s="49" t="n">
        <f aca="false">D17+E17</f>
        <v>195731.431175438</v>
      </c>
      <c r="G17" s="49" t="n">
        <f aca="false">Inputs!B42</f>
        <v>30000</v>
      </c>
      <c r="H17" s="49" t="n">
        <f aca="false">MAX(0,F17-G17)</f>
        <v>165731.431175438</v>
      </c>
      <c r="I17" s="57" t="str">
        <f aca="false">IF(H17&lt;=23200,"10%",IF(H17&lt;=94300,"12%",IF(H17&lt;=201050,"22%",IF(H17&lt;=383900,"24%","32%+"))))</f>
        <v>22%</v>
      </c>
      <c r="J17" s="49" t="n">
        <f aca="false">MAX(0,IF(H17&lt;=23200,H17*0.1,IF(H17&lt;=94300,23200*0.1+(H17-23200)*0.12,IF(H17&lt;=201050,23200*0.1+71100*0.12+(H17-94300)*0.22,23200*0.1+71100*0.12+106750*0.22+(H17-201050)*0.24))))</f>
        <v>26566.9148585963</v>
      </c>
      <c r="K17" s="58" t="n">
        <f aca="false">IFERROR(J17/MAX(1,H17),0)</f>
        <v>0.160301004282486</v>
      </c>
      <c r="L17" s="57" t="str">
        <f aca="false">IF(F17&lt;=206000,"Base $0",IF(F17&lt;=258000,"T1 $594",IF(F17&lt;=322000,"T2 $1,488",IF(F17&lt;=386000,"T3 $2,382",IF(F17&lt;=750000,"T4 $3,276","T5 $4,170")))))</f>
        <v>Base $0</v>
      </c>
      <c r="M17" s="49" t="n">
        <f aca="false">ROUND(D17*0.0637,0)</f>
        <v>7510</v>
      </c>
      <c r="N17" s="49" t="n">
        <f aca="false">J17+M17</f>
        <v>34076.9148585963</v>
      </c>
    </row>
    <row r="18" customFormat="false" ht="15" hidden="false" customHeight="true" outlineLevel="0" collapsed="false">
      <c r="A18" s="44" t="n">
        <v>79</v>
      </c>
      <c r="B18" s="45" t="n">
        <f aca="false">'Withdrawal Plan'!H17</f>
        <v>64102.7809188755</v>
      </c>
      <c r="C18" s="45" t="n">
        <f aca="false">'Withdrawal Plan'!I17</f>
        <v>29762.9022997928</v>
      </c>
      <c r="D18" s="45" t="n">
        <f aca="false">'Roth Conversion'!E17</f>
        <v>116562.636218956</v>
      </c>
      <c r="E18" s="45" t="n">
        <f aca="false">(B18+C18)*Inputs!B43</f>
        <v>79785.830735868</v>
      </c>
      <c r="F18" s="45" t="n">
        <f aca="false">D18+E18</f>
        <v>196348.466954824</v>
      </c>
      <c r="G18" s="45" t="n">
        <f aca="false">Inputs!B42</f>
        <v>30000</v>
      </c>
      <c r="H18" s="45" t="n">
        <f aca="false">MAX(0,F18-G18)</f>
        <v>166348.466954824</v>
      </c>
      <c r="I18" s="54" t="str">
        <f aca="false">IF(H18&lt;=23200,"10%",IF(H18&lt;=94300,"12%",IF(H18&lt;=201050,"22%",IF(H18&lt;=383900,"24%","32%+"))))</f>
        <v>22%</v>
      </c>
      <c r="J18" s="45" t="n">
        <f aca="false">MAX(0,IF(H18&lt;=23200,H18*0.1,IF(H18&lt;=94300,23200*0.1+(H18-23200)*0.12,IF(H18&lt;=201050,23200*0.1+71100*0.12+(H18-94300)*0.22,23200*0.1+71100*0.12+106750*0.22+(H18-201050)*0.24))))</f>
        <v>26702.6627300612</v>
      </c>
      <c r="K18" s="55" t="n">
        <f aca="false">IFERROR(J18/MAX(1,H18),0)</f>
        <v>0.160522445555889</v>
      </c>
      <c r="L18" s="54" t="str">
        <f aca="false">IF(F18&lt;=206000,"Base $0",IF(F18&lt;=258000,"T1 $594",IF(F18&lt;=322000,"T2 $1,488",IF(F18&lt;=386000,"T3 $2,382",IF(F18&lt;=750000,"T4 $3,276","T5 $4,170")))))</f>
        <v>Base $0</v>
      </c>
      <c r="M18" s="45" t="n">
        <f aca="false">ROUND(D18*0.0637,0)</f>
        <v>7425</v>
      </c>
      <c r="N18" s="45" t="n">
        <f aca="false">J18+M18</f>
        <v>34127.6627300612</v>
      </c>
    </row>
    <row r="19" customFormat="false" ht="15" hidden="false" customHeight="true" outlineLevel="0" collapsed="false">
      <c r="A19" s="44" t="n">
        <v>80</v>
      </c>
      <c r="B19" s="49" t="n">
        <f aca="false">'Withdrawal Plan'!H18</f>
        <v>65705.3504418474</v>
      </c>
      <c r="C19" s="49" t="n">
        <f aca="false">'Withdrawal Plan'!I18</f>
        <v>30506.9748572876</v>
      </c>
      <c r="D19" s="49" t="n">
        <f aca="false">'Roth Conversion'!E18</f>
        <v>115200.45212443</v>
      </c>
      <c r="E19" s="49" t="n">
        <f aca="false">(B19+C19)*Inputs!B43</f>
        <v>81780.4765042647</v>
      </c>
      <c r="F19" s="49" t="n">
        <f aca="false">D19+E19</f>
        <v>196980.928628694</v>
      </c>
      <c r="G19" s="49" t="n">
        <f aca="false">Inputs!B42</f>
        <v>30000</v>
      </c>
      <c r="H19" s="49" t="n">
        <f aca="false">MAX(0,F19-G19)</f>
        <v>166980.928628694</v>
      </c>
      <c r="I19" s="57" t="str">
        <f aca="false">IF(H19&lt;=23200,"10%",IF(H19&lt;=94300,"12%",IF(H19&lt;=201050,"22%",IF(H19&lt;=383900,"24%","32%+"))))</f>
        <v>22%</v>
      </c>
      <c r="J19" s="49" t="n">
        <f aca="false">MAX(0,IF(H19&lt;=23200,H19*0.1,IF(H19&lt;=94300,23200*0.1+(H19-23200)*0.12,IF(H19&lt;=201050,23200*0.1+71100*0.12+(H19-94300)*0.22,23200*0.1+71100*0.12+106750*0.22+(H19-201050)*0.24))))</f>
        <v>26841.8042983128</v>
      </c>
      <c r="K19" s="58" t="n">
        <f aca="false">IFERROR(J19/MAX(1,H19),0)</f>
        <v>0.160747724418274</v>
      </c>
      <c r="L19" s="57" t="str">
        <f aca="false">IF(F19&lt;=206000,"Base $0",IF(F19&lt;=258000,"T1 $594",IF(F19&lt;=322000,"T2 $1,488",IF(F19&lt;=386000,"T3 $2,382",IF(F19&lt;=750000,"T4 $3,276","T5 $4,170")))))</f>
        <v>Base $0</v>
      </c>
      <c r="M19" s="49" t="n">
        <f aca="false">ROUND(D19*0.0637,0)</f>
        <v>7338</v>
      </c>
      <c r="N19" s="49" t="n">
        <f aca="false">J19+M19</f>
        <v>34179.8042983128</v>
      </c>
    </row>
    <row r="20" customFormat="false" ht="15" hidden="false" customHeight="true" outlineLevel="0" collapsed="false">
      <c r="A20" s="44" t="n">
        <v>81</v>
      </c>
      <c r="B20" s="45" t="n">
        <f aca="false">'Withdrawal Plan'!H19</f>
        <v>67347.9842028936</v>
      </c>
      <c r="C20" s="45" t="n">
        <f aca="false">'Withdrawal Plan'!I19</f>
        <v>31269.6492287198</v>
      </c>
      <c r="D20" s="45" t="n">
        <f aca="false">'Roth Conversion'!E19</f>
        <v>113804.21342754</v>
      </c>
      <c r="E20" s="45" t="n">
        <f aca="false">(B20+C20)*Inputs!B43</f>
        <v>83824.9884168713</v>
      </c>
      <c r="F20" s="45" t="n">
        <f aca="false">D20+E20</f>
        <v>197629.201844412</v>
      </c>
      <c r="G20" s="45" t="n">
        <f aca="false">Inputs!B42</f>
        <v>30000</v>
      </c>
      <c r="H20" s="45" t="n">
        <f aca="false">MAX(0,F20-G20)</f>
        <v>167629.201844412</v>
      </c>
      <c r="I20" s="54" t="str">
        <f aca="false">IF(H20&lt;=23200,"10%",IF(H20&lt;=94300,"12%",IF(H20&lt;=201050,"22%",IF(H20&lt;=383900,"24%","32%+"))))</f>
        <v>22%</v>
      </c>
      <c r="J20" s="45" t="n">
        <f aca="false">MAX(0,IF(H20&lt;=23200,H20*0.1,IF(H20&lt;=94300,23200*0.1+(H20-23200)*0.12,IF(H20&lt;=201050,23200*0.1+71100*0.12+(H20-94300)*0.22,23200*0.1+71100*0.12+106750*0.22+(H20-201050)*0.24))))</f>
        <v>26984.4244057706</v>
      </c>
      <c r="K20" s="55" t="n">
        <f aca="false">IFERROR(J20/MAX(1,H20),0)</f>
        <v>0.160976871027619</v>
      </c>
      <c r="L20" s="54" t="str">
        <f aca="false">IF(F20&lt;=206000,"Base $0",IF(F20&lt;=258000,"T1 $594",IF(F20&lt;=322000,"T2 $1,488",IF(F20&lt;=386000,"T3 $2,382",IF(F20&lt;=750000,"T4 $3,276","T5 $4,170")))))</f>
        <v>Base $0</v>
      </c>
      <c r="M20" s="45" t="n">
        <f aca="false">ROUND(D20*0.0637,0)</f>
        <v>7249</v>
      </c>
      <c r="N20" s="45" t="n">
        <f aca="false">J20+M20</f>
        <v>34233.4244057706</v>
      </c>
    </row>
    <row r="21" customFormat="false" ht="15" hidden="false" customHeight="true" outlineLevel="0" collapsed="false">
      <c r="A21" s="44" t="n">
        <v>82</v>
      </c>
      <c r="B21" s="49" t="n">
        <f aca="false">'Withdrawal Plan'!H20</f>
        <v>69031.6838079659</v>
      </c>
      <c r="C21" s="49" t="n">
        <f aca="false">'Withdrawal Plan'!I20</f>
        <v>32051.3904594378</v>
      </c>
      <c r="D21" s="49" t="n">
        <f aca="false">'Roth Conversion'!E20</f>
        <v>112373.068763229</v>
      </c>
      <c r="E21" s="49" t="n">
        <f aca="false">(B21+C21)*Inputs!B43</f>
        <v>85920.6131272931</v>
      </c>
      <c r="F21" s="49" t="n">
        <f aca="false">D21+E21</f>
        <v>198293.681890522</v>
      </c>
      <c r="G21" s="49" t="n">
        <f aca="false">Inputs!B42</f>
        <v>30000</v>
      </c>
      <c r="H21" s="49" t="n">
        <f aca="false">MAX(0,F21-G21)</f>
        <v>168293.681890522</v>
      </c>
      <c r="I21" s="57" t="str">
        <f aca="false">IF(H21&lt;=23200,"10%",IF(H21&lt;=94300,"12%",IF(H21&lt;=201050,"22%",IF(H21&lt;=383900,"24%","32%+"))))</f>
        <v>22%</v>
      </c>
      <c r="J21" s="49" t="n">
        <f aca="false">MAX(0,IF(H21&lt;=23200,H21*0.1,IF(H21&lt;=94300,23200*0.1+(H21-23200)*0.12,IF(H21&lt;=201050,23200*0.1+71100*0.12+(H21-94300)*0.22,23200*0.1+71100*0.12+106750*0.22+(H21-201050)*0.24))))</f>
        <v>27130.6100159149</v>
      </c>
      <c r="K21" s="58" t="n">
        <f aca="false">IFERROR(J21/MAX(1,H21),0)</f>
        <v>0.16120991418777</v>
      </c>
      <c r="L21" s="57" t="str">
        <f aca="false">IF(F21&lt;=206000,"Base $0",IF(F21&lt;=258000,"T1 $594",IF(F21&lt;=322000,"T2 $1,488",IF(F21&lt;=386000,"T3 $2,382",IF(F21&lt;=750000,"T4 $3,276","T5 $4,170")))))</f>
        <v>Base $0</v>
      </c>
      <c r="M21" s="49" t="n">
        <f aca="false">ROUND(D21*0.0637,0)</f>
        <v>7158</v>
      </c>
      <c r="N21" s="49" t="n">
        <f aca="false">J21+M21</f>
        <v>34288.6100159149</v>
      </c>
    </row>
    <row r="22" customFormat="false" ht="15" hidden="false" customHeight="true" outlineLevel="0" collapsed="false">
      <c r="A22" s="44" t="n">
        <v>83</v>
      </c>
      <c r="B22" s="45" t="n">
        <f aca="false">'Withdrawal Plan'!H21</f>
        <v>70757.475903165</v>
      </c>
      <c r="C22" s="45" t="n">
        <f aca="false">'Withdrawal Plan'!I21</f>
        <v>32852.6752209237</v>
      </c>
      <c r="D22" s="45" t="n">
        <f aca="false">'Roth Conversion'!E21</f>
        <v>110906.14548231</v>
      </c>
      <c r="E22" s="45" t="n">
        <f aca="false">(B22+C22)*Inputs!B43</f>
        <v>88068.6284554754</v>
      </c>
      <c r="F22" s="45" t="n">
        <f aca="false">D22+E22</f>
        <v>198974.773937785</v>
      </c>
      <c r="G22" s="45" t="n">
        <f aca="false">Inputs!B42</f>
        <v>30000</v>
      </c>
      <c r="H22" s="45" t="n">
        <f aca="false">MAX(0,F22-G22)</f>
        <v>168974.773937785</v>
      </c>
      <c r="I22" s="54" t="str">
        <f aca="false">IF(H22&lt;=23200,"10%",IF(H22&lt;=94300,"12%",IF(H22&lt;=201050,"22%",IF(H22&lt;=383900,"24%","32%+"))))</f>
        <v>22%</v>
      </c>
      <c r="J22" s="45" t="n">
        <f aca="false">MAX(0,IF(H22&lt;=23200,H22*0.1,IF(H22&lt;=94300,23200*0.1+(H22-23200)*0.12,IF(H22&lt;=201050,23200*0.1+71100*0.12+(H22-94300)*0.22,23200*0.1+71100*0.12+106750*0.22+(H22-201050)*0.24))))</f>
        <v>27280.4502663127</v>
      </c>
      <c r="K22" s="55" t="n">
        <f aca="false">IFERROR(J22/MAX(1,H22),0)</f>
        <v>0.161446881274462</v>
      </c>
      <c r="L22" s="54" t="str">
        <f aca="false">IF(F22&lt;=206000,"Base $0",IF(F22&lt;=258000,"T1 $594",IF(F22&lt;=322000,"T2 $1,488",IF(F22&lt;=386000,"T3 $2,382",IF(F22&lt;=750000,"T4 $3,276","T5 $4,170")))))</f>
        <v>Base $0</v>
      </c>
      <c r="M22" s="45" t="n">
        <f aca="false">ROUND(D22*0.0637,0)</f>
        <v>7065</v>
      </c>
      <c r="N22" s="45" t="n">
        <f aca="false">J22+M22</f>
        <v>34345.4502663127</v>
      </c>
    </row>
    <row r="23" customFormat="false" ht="15" hidden="false" customHeight="true" outlineLevel="0" collapsed="false">
      <c r="A23" s="44" t="n">
        <v>84</v>
      </c>
      <c r="B23" s="49" t="n">
        <f aca="false">'Withdrawal Plan'!H22</f>
        <v>72526.4128007442</v>
      </c>
      <c r="C23" s="49" t="n">
        <f aca="false">'Withdrawal Plan'!I22</f>
        <v>33673.9921014468</v>
      </c>
      <c r="D23" s="49" t="n">
        <f aca="false">'Roth Conversion'!E22</f>
        <v>109402.549119367</v>
      </c>
      <c r="E23" s="49" t="n">
        <f aca="false">(B23+C23)*Inputs!B43</f>
        <v>90270.3441668623</v>
      </c>
      <c r="F23" s="49" t="n">
        <f aca="false">D23+E23</f>
        <v>199672.89328623</v>
      </c>
      <c r="G23" s="49" t="n">
        <f aca="false">Inputs!B42</f>
        <v>30000</v>
      </c>
      <c r="H23" s="49" t="n">
        <f aca="false">MAX(0,F23-G23)</f>
        <v>169672.89328623</v>
      </c>
      <c r="I23" s="57" t="str">
        <f aca="false">IF(H23&lt;=23200,"10%",IF(H23&lt;=94300,"12%",IF(H23&lt;=201050,"22%",IF(H23&lt;=383900,"24%","32%+"))))</f>
        <v>22%</v>
      </c>
      <c r="J23" s="49" t="n">
        <f aca="false">MAX(0,IF(H23&lt;=23200,H23*0.1,IF(H23&lt;=94300,23200*0.1+(H23-23200)*0.12,IF(H23&lt;=201050,23200*0.1+71100*0.12+(H23-94300)*0.22,23200*0.1+71100*0.12+106750*0.22+(H23-201050)*0.24))))</f>
        <v>27434.0365229705</v>
      </c>
      <c r="K23" s="58" t="n">
        <f aca="false">IFERROR(J23/MAX(1,H23),0)</f>
        <v>0.161687798160492</v>
      </c>
      <c r="L23" s="57" t="str">
        <f aca="false">IF(F23&lt;=206000,"Base $0",IF(F23&lt;=258000,"T1 $594",IF(F23&lt;=322000,"T2 $1,488",IF(F23&lt;=386000,"T3 $2,382",IF(F23&lt;=750000,"T4 $3,276","T5 $4,170")))))</f>
        <v>Base $0</v>
      </c>
      <c r="M23" s="49" t="n">
        <f aca="false">ROUND(D23*0.0637,0)</f>
        <v>6969</v>
      </c>
      <c r="N23" s="49" t="n">
        <f aca="false">J23+M23</f>
        <v>34403.0365229706</v>
      </c>
    </row>
    <row r="24" customFormat="false" ht="15" hidden="false" customHeight="true" outlineLevel="0" collapsed="false">
      <c r="A24" s="44" t="n">
        <v>85</v>
      </c>
      <c r="B24" s="45" t="n">
        <f aca="false">'Withdrawal Plan'!H23</f>
        <v>74339.5731207628</v>
      </c>
      <c r="C24" s="45" t="n">
        <f aca="false">'Withdrawal Plan'!I23</f>
        <v>34515.8419039829</v>
      </c>
      <c r="D24" s="45" t="n">
        <f aca="false">'Roth Conversion'!E23</f>
        <v>107861.362847352</v>
      </c>
      <c r="E24" s="45" t="n">
        <f aca="false">(B24+C24)*Inputs!B43</f>
        <v>92527.1027710338</v>
      </c>
      <c r="F24" s="45" t="n">
        <f aca="false">D24+E24</f>
        <v>200388.465618385</v>
      </c>
      <c r="G24" s="45" t="n">
        <f aca="false">Inputs!B42</f>
        <v>30000</v>
      </c>
      <c r="H24" s="45" t="n">
        <f aca="false">MAX(0,F24-G24)</f>
        <v>170388.465618385</v>
      </c>
      <c r="I24" s="54" t="str">
        <f aca="false">IF(H24&lt;=23200,"10%",IF(H24&lt;=94300,"12%",IF(H24&lt;=201050,"22%",IF(H24&lt;=383900,"24%","32%+"))))</f>
        <v>22%</v>
      </c>
      <c r="J24" s="45" t="n">
        <f aca="false">MAX(0,IF(H24&lt;=23200,H24*0.1,IF(H24&lt;=94300,23200*0.1+(H24-23200)*0.12,IF(H24&lt;=201050,23200*0.1+71100*0.12+(H24-94300)*0.22,23200*0.1+71100*0.12+106750*0.22+(H24-201050)*0.24))))</f>
        <v>27591.4624360448</v>
      </c>
      <c r="K24" s="55" t="n">
        <f aca="false">IFERROR(J24/MAX(1,H24),0)</f>
        <v>0.161932689140124</v>
      </c>
      <c r="L24" s="54" t="str">
        <f aca="false">IF(F24&lt;=206000,"Base $0",IF(F24&lt;=258000,"T1 $594",IF(F24&lt;=322000,"T2 $1,488",IF(F24&lt;=386000,"T3 $2,382",IF(F24&lt;=750000,"T4 $3,276","T5 $4,170")))))</f>
        <v>Base $0</v>
      </c>
      <c r="M24" s="45" t="n">
        <f aca="false">ROUND(D24*0.0637,0)</f>
        <v>6871</v>
      </c>
      <c r="N24" s="45" t="n">
        <f aca="false">J24+M24</f>
        <v>34462.4624360448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7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6" min="5" style="1" width="18"/>
    <col collapsed="false" customWidth="true" hidden="false" outlineLevel="0" max="8" min="7" style="1" width="16"/>
  </cols>
  <sheetData>
    <row r="1" customFormat="false" ht="15" hidden="false" customHeight="true" outlineLevel="0" collapsed="false">
      <c r="A1" s="40" t="s">
        <v>114</v>
      </c>
      <c r="B1" s="40"/>
      <c r="C1" s="40"/>
      <c r="D1" s="40"/>
      <c r="E1" s="40"/>
      <c r="F1" s="40"/>
      <c r="G1" s="40"/>
      <c r="H1" s="40"/>
      <c r="I1" s="40"/>
    </row>
    <row r="2" customFormat="false" ht="30" hidden="false" customHeight="true" outlineLevel="0" collapsed="false">
      <c r="A2" s="42" t="s">
        <v>115</v>
      </c>
      <c r="B2" s="42"/>
      <c r="C2" s="42"/>
      <c r="D2" s="42"/>
      <c r="E2" s="42"/>
      <c r="F2" s="42"/>
      <c r="G2" s="42"/>
      <c r="H2" s="42"/>
      <c r="I2" s="42"/>
    </row>
    <row r="3" customFormat="false" ht="36" hidden="false" customHeight="true" outlineLevel="0" collapsed="false">
      <c r="A3" s="43" t="s">
        <v>60</v>
      </c>
      <c r="B3" s="43" t="s">
        <v>116</v>
      </c>
      <c r="C3" s="43" t="s">
        <v>117</v>
      </c>
      <c r="D3" s="43" t="s">
        <v>118</v>
      </c>
      <c r="E3" s="43" t="s">
        <v>119</v>
      </c>
      <c r="F3" s="43" t="s">
        <v>120</v>
      </c>
      <c r="G3" s="43" t="s">
        <v>121</v>
      </c>
      <c r="H3" s="43" t="s">
        <v>122</v>
      </c>
    </row>
    <row r="4" customFormat="false" ht="15" hidden="false" customHeight="true" outlineLevel="0" collapsed="false">
      <c r="A4" s="53" t="n">
        <v>65</v>
      </c>
      <c r="B4" s="45" t="n">
        <f aca="false">'Withdrawal Plan'!J3+'Withdrawal Plan'!K3+'Withdrawal Plan'!L3+'Withdrawal Plan'!M3</f>
        <v>173270</v>
      </c>
      <c r="C4" s="45" t="n">
        <f aca="false">MAX(0,Portfolio!H11*(1+0.04)-B4)</f>
        <v>9132439.10407305</v>
      </c>
      <c r="D4" s="45" t="n">
        <f aca="false">MAX(0,Portfolio!H11*(1+0.06)-B4)</f>
        <v>9311395.04838215</v>
      </c>
      <c r="E4" s="45" t="n">
        <f aca="false">MAX(0,Portfolio!H11*(1+0.08)-B4)</f>
        <v>9490350.99269125</v>
      </c>
      <c r="F4" s="45" t="n">
        <f aca="false">MAX(0,Portfolio!H11*(1+0.1)-B4)</f>
        <v>9669306.93700034</v>
      </c>
      <c r="G4" s="45" t="n">
        <f aca="false">C4-E4</f>
        <v>-357911.888618194</v>
      </c>
      <c r="H4" s="45" t="n">
        <f aca="false">F4-E4</f>
        <v>178955.944309097</v>
      </c>
    </row>
    <row r="5" customFormat="false" ht="15" hidden="false" customHeight="true" outlineLevel="0" collapsed="false">
      <c r="A5" s="56" t="n">
        <v>66</v>
      </c>
      <c r="B5" s="49" t="n">
        <f aca="false">'Withdrawal Plan'!J4+'Withdrawal Plan'!K4+'Withdrawal Plan'!L4+'Withdrawal Plan'!M4</f>
        <v>173381</v>
      </c>
      <c r="C5" s="49" t="n">
        <f aca="false">MAX(0,C4*(1+0.04)-B5)</f>
        <v>9324355.66823597</v>
      </c>
      <c r="D5" s="49" t="n">
        <f aca="false">MAX(0,D4*(1+0.06)-B5)</f>
        <v>9696697.75128508</v>
      </c>
      <c r="E5" s="49" t="n">
        <f aca="false">MAX(0,E4*(1+0.08)-B5)</f>
        <v>10076198.0721065</v>
      </c>
      <c r="F5" s="49" t="n">
        <f aca="false">MAX(0,F4*(1+0.1)-B5)</f>
        <v>10462856.6307004</v>
      </c>
      <c r="G5" s="49" t="n">
        <f aca="false">C5-E5</f>
        <v>-751842.403870571</v>
      </c>
      <c r="H5" s="49" t="n">
        <f aca="false">F5-E5</f>
        <v>386658.55859383</v>
      </c>
    </row>
    <row r="6" customFormat="false" ht="15" hidden="false" customHeight="true" outlineLevel="0" collapsed="false">
      <c r="A6" s="53" t="n">
        <v>67</v>
      </c>
      <c r="B6" s="45" t="n">
        <f aca="false">'Withdrawal Plan'!J5+'Withdrawal Plan'!K5+'Withdrawal Plan'!L5+'Withdrawal Plan'!M5</f>
        <v>132983.15</v>
      </c>
      <c r="C6" s="45" t="n">
        <f aca="false">MAX(0,C5*(1+0.04)-B6)</f>
        <v>9564346.74496541</v>
      </c>
      <c r="D6" s="45" t="n">
        <f aca="false">MAX(0,D5*(1+0.06)-B6)</f>
        <v>10145516.4663622</v>
      </c>
      <c r="E6" s="45" t="n">
        <f aca="false">MAX(0,E5*(1+0.08)-B6)</f>
        <v>10749310.7678751</v>
      </c>
      <c r="F6" s="45" t="n">
        <f aca="false">MAX(0,F5*(1+0.1)-B6)</f>
        <v>11376159.1437704</v>
      </c>
      <c r="G6" s="45" t="n">
        <f aca="false">C6-E6</f>
        <v>-1184964.02290966</v>
      </c>
      <c r="H6" s="45" t="n">
        <f aca="false">F6-E6</f>
        <v>626848.375895344</v>
      </c>
    </row>
    <row r="7" customFormat="false" ht="15" hidden="false" customHeight="true" outlineLevel="0" collapsed="false">
      <c r="A7" s="56" t="n">
        <v>68</v>
      </c>
      <c r="B7" s="49" t="n">
        <f aca="false">'Withdrawal Plan'!J6+'Withdrawal Plan'!K6+'Withdrawal Plan'!L6+'Withdrawal Plan'!M6</f>
        <v>132092.6675</v>
      </c>
      <c r="C7" s="49" t="n">
        <f aca="false">MAX(0,C6*(1+0.04)-B7)</f>
        <v>9814827.94726403</v>
      </c>
      <c r="D7" s="49" t="n">
        <f aca="false">MAX(0,D6*(1+0.06)-B7)</f>
        <v>10622154.7868439</v>
      </c>
      <c r="E7" s="49" t="n">
        <f aca="false">MAX(0,E6*(1+0.08)-B7)</f>
        <v>11477162.9618051</v>
      </c>
      <c r="F7" s="49" t="n">
        <f aca="false">MAX(0,F6*(1+0.1)-B7)</f>
        <v>12381682.3906475</v>
      </c>
      <c r="G7" s="49" t="n">
        <f aca="false">C7-E7</f>
        <v>-1662335.01454104</v>
      </c>
      <c r="H7" s="49" t="n">
        <f aca="false">F7-E7</f>
        <v>904519.428842381</v>
      </c>
    </row>
    <row r="8" customFormat="false" ht="15" hidden="false" customHeight="true" outlineLevel="0" collapsed="false">
      <c r="A8" s="53" t="n">
        <v>69</v>
      </c>
      <c r="B8" s="45" t="n">
        <f aca="false">'Withdrawal Plan'!J7+'Withdrawal Plan'!K7+'Withdrawal Plan'!L7+'Withdrawal Plan'!M7</f>
        <v>131182.982375</v>
      </c>
      <c r="C8" s="45" t="n">
        <f aca="false">MAX(0,C7*(1+0.04)-B8)</f>
        <v>10076238.0827796</v>
      </c>
      <c r="D8" s="45" t="n">
        <f aca="false">MAX(0,D7*(1+0.06)-B8)</f>
        <v>11128301.0916795</v>
      </c>
      <c r="E8" s="45" t="n">
        <f aca="false">MAX(0,E7*(1+0.08)-B8)</f>
        <v>12264153.0163745</v>
      </c>
      <c r="F8" s="45" t="n">
        <f aca="false">MAX(0,F7*(1+0.1)-B8)</f>
        <v>13488667.6473372</v>
      </c>
      <c r="G8" s="45" t="n">
        <f aca="false">C8-E8</f>
        <v>-2187914.93359489</v>
      </c>
      <c r="H8" s="45" t="n">
        <f aca="false">F8-E8</f>
        <v>1224514.63096272</v>
      </c>
    </row>
    <row r="9" customFormat="false" ht="15" hidden="false" customHeight="true" outlineLevel="0" collapsed="false">
      <c r="A9" s="56" t="n">
        <v>70</v>
      </c>
      <c r="B9" s="49" t="n">
        <f aca="false">'Withdrawal Plan'!J8+'Withdrawal Plan'!K8+'Withdrawal Plan'!L8+'Withdrawal Plan'!M8</f>
        <v>130253.76753125</v>
      </c>
      <c r="C9" s="49" t="n">
        <f aca="false">MAX(0,C8*(1+0.04)-B9)</f>
        <v>10349033.8385595</v>
      </c>
      <c r="D9" s="49" t="n">
        <f aca="false">MAX(0,D8*(1+0.06)-B9)</f>
        <v>11665745.3896491</v>
      </c>
      <c r="E9" s="49" t="n">
        <f aca="false">MAX(0,E8*(1+0.08)-B9)</f>
        <v>13115031.4901532</v>
      </c>
      <c r="F9" s="49" t="n">
        <f aca="false">MAX(0,F8*(1+0.1)-B9)</f>
        <v>14707280.6445397</v>
      </c>
      <c r="G9" s="49" t="n">
        <f aca="false">C9-E9</f>
        <v>-2765997.65159366</v>
      </c>
      <c r="H9" s="49" t="n">
        <f aca="false">F9-E9</f>
        <v>1592249.15438649</v>
      </c>
    </row>
    <row r="10" customFormat="false" ht="15" hidden="false" customHeight="true" outlineLevel="0" collapsed="false">
      <c r="A10" s="53" t="n">
        <v>71</v>
      </c>
      <c r="B10" s="45" t="n">
        <f aca="false">'Withdrawal Plan'!J9+'Withdrawal Plan'!K9+'Withdrawal Plan'!L9+'Withdrawal Plan'!M9</f>
        <v>129304.69534625</v>
      </c>
      <c r="C10" s="45" t="n">
        <f aca="false">MAX(0,C9*(1+0.04)-B10)</f>
        <v>10633690.4967557</v>
      </c>
      <c r="D10" s="45" t="n">
        <f aca="false">MAX(0,D9*(1+0.06)-B10)</f>
        <v>12236385.4176818</v>
      </c>
      <c r="E10" s="45" t="n">
        <f aca="false">MAX(0,E9*(1+0.08)-B10)</f>
        <v>14034929.3140192</v>
      </c>
      <c r="F10" s="45" t="n">
        <f aca="false">MAX(0,F9*(1+0.1)-B10)</f>
        <v>16048704.0136474</v>
      </c>
      <c r="G10" s="45" t="n">
        <f aca="false">C10-E10</f>
        <v>-3401238.81726354</v>
      </c>
      <c r="H10" s="45" t="n">
        <f aca="false">F10-E10</f>
        <v>2013774.6996282</v>
      </c>
    </row>
    <row r="11" customFormat="false" ht="15" hidden="false" customHeight="true" outlineLevel="0" collapsed="false">
      <c r="A11" s="56" t="n">
        <v>72</v>
      </c>
      <c r="B11" s="49" t="n">
        <f aca="false">'Withdrawal Plan'!J10+'Withdrawal Plan'!K10+'Withdrawal Plan'!L10+'Withdrawal Plan'!M10</f>
        <v>128335.438037961</v>
      </c>
      <c r="C11" s="49" t="n">
        <f aca="false">MAX(0,C10*(1+0.04)-B11)</f>
        <v>10930702.6785879</v>
      </c>
      <c r="D11" s="49" t="n">
        <f aca="false">MAX(0,D10*(1+0.06)-B11)</f>
        <v>12842233.1047047</v>
      </c>
      <c r="E11" s="49" t="n">
        <f aca="false">MAX(0,E10*(1+0.08)-B11)</f>
        <v>15029388.2211028</v>
      </c>
      <c r="F11" s="49" t="n">
        <f aca="false">MAX(0,F10*(1+0.1)-B11)</f>
        <v>17525238.9769742</v>
      </c>
      <c r="G11" s="49" t="n">
        <f aca="false">C11-E11</f>
        <v>-4098685.54251485</v>
      </c>
      <c r="H11" s="49" t="n">
        <f aca="false">F11-E11</f>
        <v>2495850.7558714</v>
      </c>
    </row>
    <row r="12" customFormat="false" ht="15" hidden="false" customHeight="true" outlineLevel="0" collapsed="false">
      <c r="A12" s="44" t="n">
        <v>73</v>
      </c>
      <c r="B12" s="45" t="n">
        <f aca="false">'Withdrawal Plan'!J11+'Withdrawal Plan'!K11+'Withdrawal Plan'!L11+'Withdrawal Plan'!M11</f>
        <v>127345.668062367</v>
      </c>
      <c r="C12" s="45" t="n">
        <f aca="false">MAX(0,C11*(1+0.04)-B12)</f>
        <v>11240585.1176691</v>
      </c>
      <c r="D12" s="45" t="n">
        <f aca="false">MAX(0,D11*(1+0.06)-B12)</f>
        <v>13485421.4229246</v>
      </c>
      <c r="E12" s="45" t="n">
        <f aca="false">MAX(0,E11*(1+0.08)-B12)</f>
        <v>16104393.6107286</v>
      </c>
      <c r="F12" s="45" t="n">
        <f aca="false">MAX(0,F11*(1+0.1)-B12)</f>
        <v>19150417.2066092</v>
      </c>
      <c r="G12" s="45" t="n">
        <f aca="false">C12-E12</f>
        <v>-4863808.49305956</v>
      </c>
      <c r="H12" s="45" t="n">
        <f aca="false">F12-E12</f>
        <v>3046023.5958806</v>
      </c>
    </row>
    <row r="13" customFormat="false" ht="15" hidden="false" customHeight="true" outlineLevel="0" collapsed="false">
      <c r="A13" s="44" t="n">
        <v>74</v>
      </c>
      <c r="B13" s="49" t="n">
        <f aca="false">'Withdrawal Plan'!J12+'Withdrawal Plan'!K12+'Withdrawal Plan'!L12+'Withdrawal Plan'!M12</f>
        <v>126335.058541057</v>
      </c>
      <c r="C13" s="49" t="n">
        <f aca="false">MAX(0,C12*(1+0.04)-B13)</f>
        <v>11563873.4638348</v>
      </c>
      <c r="D13" s="49" t="n">
        <f aca="false">MAX(0,D12*(1+0.06)-B13)</f>
        <v>14168211.6497591</v>
      </c>
      <c r="E13" s="49" t="n">
        <f aca="false">MAX(0,E12*(1+0.08)-B13)</f>
        <v>17266410.0410459</v>
      </c>
      <c r="F13" s="49" t="n">
        <f aca="false">MAX(0,F12*(1+0.1)-B13)</f>
        <v>20939123.8687291</v>
      </c>
      <c r="G13" s="49" t="n">
        <f aca="false">C13-E13</f>
        <v>-5702536.57721109</v>
      </c>
      <c r="H13" s="49" t="n">
        <f aca="false">F13-E13</f>
        <v>3672713.82768323</v>
      </c>
    </row>
    <row r="14" customFormat="false" ht="15" hidden="false" customHeight="true" outlineLevel="0" collapsed="false">
      <c r="A14" s="44" t="n">
        <v>75</v>
      </c>
      <c r="B14" s="45" t="n">
        <f aca="false">'Withdrawal Plan'!J13+'Withdrawal Plan'!K13+'Withdrawal Plan'!L13+'Withdrawal Plan'!M13</f>
        <v>125303.28372057</v>
      </c>
      <c r="C14" s="45" t="n">
        <f aca="false">MAX(0,C13*(1+0.04)-B14)</f>
        <v>11901125.1186676</v>
      </c>
      <c r="D14" s="45" t="n">
        <f aca="false">MAX(0,D13*(1+0.06)-B14)</f>
        <v>14893001.065024</v>
      </c>
      <c r="E14" s="45" t="n">
        <f aca="false">MAX(0,E13*(1+0.08)-B14)</f>
        <v>18522419.560609</v>
      </c>
      <c r="F14" s="45" t="n">
        <f aca="false">MAX(0,F13*(1+0.1)-B14)</f>
        <v>22907732.9718814</v>
      </c>
      <c r="G14" s="45" t="n">
        <f aca="false">C14-E14</f>
        <v>-6621294.44194136</v>
      </c>
      <c r="H14" s="45" t="n">
        <f aca="false">F14-E14</f>
        <v>4385313.41127247</v>
      </c>
    </row>
    <row r="15" customFormat="false" ht="15" hidden="false" customHeight="true" outlineLevel="0" collapsed="false">
      <c r="A15" s="44" t="n">
        <v>76</v>
      </c>
      <c r="B15" s="49" t="n">
        <f aca="false">'Withdrawal Plan'!J14+'Withdrawal Plan'!K14+'Withdrawal Plan'!L14+'Withdrawal Plan'!M14</f>
        <v>124250.019465371</v>
      </c>
      <c r="C15" s="49" t="n">
        <f aca="false">MAX(0,C14*(1+0.04)-B15)</f>
        <v>12252920.1039489</v>
      </c>
      <c r="D15" s="49" t="n">
        <f aca="false">MAX(0,D14*(1+0.06)-B15)</f>
        <v>15662331.1094601</v>
      </c>
      <c r="E15" s="49" t="n">
        <f aca="false">MAX(0,E14*(1+0.08)-B15)</f>
        <v>19879963.1059923</v>
      </c>
      <c r="F15" s="49" t="n">
        <f aca="false">MAX(0,F14*(1+0.1)-B15)</f>
        <v>25074256.2496042</v>
      </c>
      <c r="G15" s="49" t="n">
        <f aca="false">C15-E15</f>
        <v>-7627043.00204337</v>
      </c>
      <c r="H15" s="49" t="n">
        <f aca="false">F15-E15</f>
        <v>5194293.1436119</v>
      </c>
    </row>
    <row r="16" customFormat="false" ht="15" hidden="false" customHeight="true" outlineLevel="0" collapsed="false">
      <c r="A16" s="44" t="n">
        <v>77</v>
      </c>
      <c r="B16" s="45" t="n">
        <f aca="false">'Withdrawal Plan'!J15+'Withdrawal Plan'!K15+'Withdrawal Plan'!L15+'Withdrawal Plan'!M15</f>
        <v>123174.94378638</v>
      </c>
      <c r="C16" s="45" t="n">
        <f aca="false">MAX(0,C15*(1+0.04)-B16)</f>
        <v>12619861.9643205</v>
      </c>
      <c r="D16" s="45" t="n">
        <f aca="false">MAX(0,D15*(1+0.06)-B16)</f>
        <v>16478896.0322413</v>
      </c>
      <c r="E16" s="45" t="n">
        <f aca="false">MAX(0,E15*(1+0.08)-B16)</f>
        <v>21347185.2106853</v>
      </c>
      <c r="F16" s="45" t="n">
        <f aca="false">MAX(0,F15*(1+0.1)-B16)</f>
        <v>27458506.9307783</v>
      </c>
      <c r="G16" s="45" t="n">
        <f aca="false">C16-E16</f>
        <v>-8727323.2463648</v>
      </c>
      <c r="H16" s="45" t="n">
        <f aca="false">F16-E16</f>
        <v>6111321.72009293</v>
      </c>
    </row>
    <row r="17" customFormat="false" ht="15" hidden="false" customHeight="true" outlineLevel="0" collapsed="false">
      <c r="A17" s="44" t="n">
        <v>78</v>
      </c>
      <c r="B17" s="49" t="n">
        <f aca="false">'Withdrawal Plan'!J16+'Withdrawal Plan'!K16+'Withdrawal Plan'!L16+'Withdrawal Plan'!M16</f>
        <v>122077.737407134</v>
      </c>
      <c r="C17" s="49" t="n">
        <f aca="false">MAX(0,C16*(1+0.04)-B17)</f>
        <v>13002578.7054862</v>
      </c>
      <c r="D17" s="49" t="n">
        <f aca="false">MAX(0,D16*(1+0.06)-B17)</f>
        <v>17345552.0567687</v>
      </c>
      <c r="E17" s="49" t="n">
        <f aca="false">MAX(0,E16*(1+0.08)-B17)</f>
        <v>22932882.290133</v>
      </c>
      <c r="F17" s="49" t="n">
        <f aca="false">MAX(0,F16*(1+0.1)-B17)</f>
        <v>30082279.8864489</v>
      </c>
      <c r="G17" s="49" t="n">
        <f aca="false">C17-E17</f>
        <v>-9930303.58464681</v>
      </c>
      <c r="H17" s="49" t="n">
        <f aca="false">F17-E17</f>
        <v>7149397.59631594</v>
      </c>
    </row>
    <row r="18" customFormat="false" ht="15" hidden="false" customHeight="true" outlineLevel="0" collapsed="false">
      <c r="A18" s="44" t="n">
        <v>79</v>
      </c>
      <c r="B18" s="45" t="n">
        <f aca="false">'Withdrawal Plan'!J17+'Withdrawal Plan'!K17+'Withdrawal Plan'!L17+'Withdrawal Plan'!M17</f>
        <v>120958.084369711</v>
      </c>
      <c r="C18" s="45" t="n">
        <f aca="false">MAX(0,C17*(1+0.04)-B18)</f>
        <v>13401723.7693359</v>
      </c>
      <c r="D18" s="45" t="n">
        <f aca="false">MAX(0,D17*(1+0.06)-B18)</f>
        <v>18265327.0958051</v>
      </c>
      <c r="E18" s="45" t="n">
        <f aca="false">MAX(0,E17*(1+0.08)-B18)</f>
        <v>24646554.7889739</v>
      </c>
      <c r="F18" s="45" t="n">
        <f aca="false">MAX(0,F17*(1+0.1)-B18)</f>
        <v>32969549.7907241</v>
      </c>
      <c r="G18" s="45" t="n">
        <f aca="false">C18-E18</f>
        <v>-11244831.019638</v>
      </c>
      <c r="H18" s="45" t="n">
        <f aca="false">F18-E18</f>
        <v>8322995.00175019</v>
      </c>
    </row>
    <row r="19" customFormat="false" ht="15" hidden="false" customHeight="true" outlineLevel="0" collapsed="false">
      <c r="A19" s="44" t="n">
        <v>80</v>
      </c>
      <c r="B19" s="49" t="n">
        <f aca="false">'Withdrawal Plan'!J18+'Withdrawal Plan'!K18+'Withdrawal Plan'!L18+'Withdrawal Plan'!M18</f>
        <v>119815.672682723</v>
      </c>
      <c r="C19" s="49" t="n">
        <f aca="false">MAX(0,C18*(1+0.04)-B19)</f>
        <v>13817977.0474267</v>
      </c>
      <c r="D19" s="49" t="n">
        <f aca="false">MAX(0,D18*(1+0.06)-B19)</f>
        <v>19241431.0488707</v>
      </c>
      <c r="E19" s="49" t="n">
        <f aca="false">MAX(0,E18*(1+0.08)-B19)</f>
        <v>26498463.4994091</v>
      </c>
      <c r="F19" s="49" t="n">
        <f aca="false">MAX(0,F18*(1+0.1)-B19)</f>
        <v>36146689.0971138</v>
      </c>
      <c r="G19" s="49" t="n">
        <f aca="false">C19-E19</f>
        <v>-12680486.4519825</v>
      </c>
      <c r="H19" s="49" t="n">
        <f aca="false">F19-E19</f>
        <v>9648225.59770469</v>
      </c>
    </row>
    <row r="20" customFormat="false" ht="15" hidden="false" customHeight="true" outlineLevel="0" collapsed="false">
      <c r="A20" s="44" t="n">
        <v>81</v>
      </c>
      <c r="B20" s="45" t="n">
        <f aca="false">'Withdrawal Plan'!J19+'Withdrawal Plan'!K19+'Withdrawal Plan'!L19+'Withdrawal Plan'!M19</f>
        <v>118650.195013748</v>
      </c>
      <c r="C20" s="45" t="n">
        <f aca="false">MAX(0,C19*(1+0.04)-B20)</f>
        <v>14252045.93431</v>
      </c>
      <c r="D20" s="45" t="n">
        <f aca="false">MAX(0,D19*(1+0.06)-B20)</f>
        <v>20277266.7167892</v>
      </c>
      <c r="E20" s="45" t="n">
        <f aca="false">MAX(0,E19*(1+0.08)-B20)</f>
        <v>28499690.3843481</v>
      </c>
      <c r="F20" s="45" t="n">
        <f aca="false">MAX(0,F19*(1+0.1)-B20)</f>
        <v>39642707.8118115</v>
      </c>
      <c r="G20" s="45" t="n">
        <f aca="false">C20-E20</f>
        <v>-14247644.4500382</v>
      </c>
      <c r="H20" s="45" t="n">
        <f aca="false">F20-E20</f>
        <v>11143017.4274633</v>
      </c>
    </row>
    <row r="21" customFormat="false" ht="15" hidden="false" customHeight="true" outlineLevel="0" collapsed="false">
      <c r="A21" s="44" t="n">
        <v>82</v>
      </c>
      <c r="B21" s="49" t="n">
        <f aca="false">'Withdrawal Plan'!J20+'Withdrawal Plan'!K20+'Withdrawal Plan'!L20+'Withdrawal Plan'!M20</f>
        <v>117461.349428747</v>
      </c>
      <c r="C21" s="49" t="n">
        <f aca="false">MAX(0,C20*(1+0.04)-B21)</f>
        <v>14704666.4222536</v>
      </c>
      <c r="D21" s="49" t="n">
        <f aca="false">MAX(0,D20*(1+0.06)-B21)</f>
        <v>21376441.3703678</v>
      </c>
      <c r="E21" s="49" t="n">
        <f aca="false">MAX(0,E20*(1+0.08)-B21)</f>
        <v>30662204.2656672</v>
      </c>
      <c r="F21" s="49" t="n">
        <f aca="false">MAX(0,F20*(1+0.1)-B21)</f>
        <v>43489517.2435639</v>
      </c>
      <c r="G21" s="49" t="n">
        <f aca="false">C21-E21</f>
        <v>-15957537.8434136</v>
      </c>
      <c r="H21" s="49" t="n">
        <f aca="false">F21-E21</f>
        <v>12827312.9778966</v>
      </c>
    </row>
    <row r="22" customFormat="false" ht="15" hidden="false" customHeight="true" outlineLevel="0" collapsed="false">
      <c r="A22" s="44" t="n">
        <v>83</v>
      </c>
      <c r="B22" s="45" t="n">
        <f aca="false">'Withdrawal Plan'!J21+'Withdrawal Plan'!K21+'Withdrawal Plan'!L21+'Withdrawal Plan'!M21</f>
        <v>116248.840181104</v>
      </c>
      <c r="C22" s="45" t="n">
        <f aca="false">MAX(0,C21*(1+0.04)-B22)</f>
        <v>15176604.2389627</v>
      </c>
      <c r="D22" s="45" t="n">
        <f aca="false">MAX(0,D21*(1+0.06)-B22)</f>
        <v>22542779.0124087</v>
      </c>
      <c r="E22" s="45" t="n">
        <f aca="false">MAX(0,E21*(1+0.08)-B22)</f>
        <v>32998931.7667395</v>
      </c>
      <c r="F22" s="45" t="n">
        <f aca="false">MAX(0,F21*(1+0.1)-B22)</f>
        <v>47722220.1277392</v>
      </c>
      <c r="G22" s="45" t="n">
        <f aca="false">C22-E22</f>
        <v>-17822327.5277768</v>
      </c>
      <c r="H22" s="45" t="n">
        <f aca="false">F22-E22</f>
        <v>14723288.3609996</v>
      </c>
    </row>
    <row r="23" customFormat="false" ht="15" hidden="false" customHeight="true" outlineLevel="0" collapsed="false">
      <c r="A23" s="44" t="n">
        <v>84</v>
      </c>
      <c r="B23" s="49" t="n">
        <f aca="false">'Withdrawal Plan'!J22+'Withdrawal Plan'!K22+'Withdrawal Plan'!L22+'Withdrawal Plan'!M22</f>
        <v>115012.378553101</v>
      </c>
      <c r="C23" s="49" t="n">
        <f aca="false">MAX(0,C22*(1+0.04)-B23)</f>
        <v>15668656.0299681</v>
      </c>
      <c r="D23" s="49" t="n">
        <f aca="false">MAX(0,D22*(1+0.06)-B23)</f>
        <v>23780333.3746002</v>
      </c>
      <c r="E23" s="49" t="n">
        <f aca="false">MAX(0,E22*(1+0.08)-B23)</f>
        <v>35523833.9295256</v>
      </c>
      <c r="F23" s="49" t="n">
        <f aca="false">MAX(0,F22*(1+0.1)-B23)</f>
        <v>52379429.76196</v>
      </c>
      <c r="G23" s="49" t="n">
        <f aca="false">C23-E23</f>
        <v>-19855177.8995575</v>
      </c>
      <c r="H23" s="49" t="n">
        <f aca="false">F23-E23</f>
        <v>16855595.8324344</v>
      </c>
    </row>
    <row r="24" customFormat="false" ht="15" hidden="false" customHeight="true" outlineLevel="0" collapsed="false">
      <c r="A24" s="44" t="n">
        <v>85</v>
      </c>
      <c r="B24" s="45" t="n">
        <f aca="false">'Withdrawal Plan'!J23+'Withdrawal Plan'!K23+'Withdrawal Plan'!L23+'Withdrawal Plan'!M23</f>
        <v>113751.683752772</v>
      </c>
      <c r="C24" s="45" t="n">
        <f aca="false">MAX(0,C23*(1+0.04)-B24)</f>
        <v>16181650.587414</v>
      </c>
      <c r="D24" s="45" t="n">
        <f aca="false">MAX(0,D23*(1+0.06)-B24)</f>
        <v>25093401.6933234</v>
      </c>
      <c r="E24" s="45" t="n">
        <f aca="false">MAX(0,E23*(1+0.08)-B24)</f>
        <v>38251988.9601348</v>
      </c>
      <c r="F24" s="45" t="n">
        <f aca="false">MAX(0,F23*(1+0.1)-B24)</f>
        <v>57503621.0544032</v>
      </c>
      <c r="G24" s="45" t="n">
        <f aca="false">C24-E24</f>
        <v>-22070338.3727208</v>
      </c>
      <c r="H24" s="45" t="n">
        <f aca="false">F24-E24</f>
        <v>19251632.0942683</v>
      </c>
    </row>
    <row r="26" customFormat="false" ht="15" hidden="false" customHeight="true" outlineLevel="0" collapsed="false">
      <c r="A26" s="59" t="s">
        <v>123</v>
      </c>
      <c r="C26" s="60" t="s">
        <v>124</v>
      </c>
      <c r="D26" s="60" t="s">
        <v>125</v>
      </c>
      <c r="E26" s="60" t="s">
        <v>126</v>
      </c>
      <c r="F26" s="60" t="s">
        <v>127</v>
      </c>
    </row>
    <row r="27" customFormat="false" ht="15" hidden="false" customHeight="true" outlineLevel="0" collapsed="false">
      <c r="C27" s="61" t="n">
        <f aca="false">C24</f>
        <v>16181650.587414</v>
      </c>
      <c r="D27" s="61" t="n">
        <f aca="false">D24</f>
        <v>25093401.6933234</v>
      </c>
      <c r="E27" s="61" t="n">
        <f aca="false">E24</f>
        <v>38251988.9601348</v>
      </c>
      <c r="F27" s="61" t="n">
        <f aca="false">F24</f>
        <v>57503621.0544032</v>
      </c>
    </row>
    <row r="28" customFormat="false" ht="27.75" hidden="false" customHeight="true" outlineLevel="0" collapsed="false">
      <c r="A28" s="42" t="s">
        <v>128</v>
      </c>
      <c r="B28" s="42"/>
      <c r="C28" s="42"/>
      <c r="D28" s="42"/>
      <c r="E28" s="42"/>
      <c r="F28" s="42"/>
      <c r="G28" s="42"/>
      <c r="H28" s="42"/>
    </row>
  </sheetData>
  <mergeCells count="3">
    <mergeCell ref="A1:I1"/>
    <mergeCell ref="A2:I2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5" min="3" style="1" width="13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13"/>
    <col collapsed="false" customWidth="true" hidden="false" outlineLevel="0" max="10" min="10" style="1" width="15"/>
    <col collapsed="false" customWidth="true" hidden="false" outlineLevel="0" max="11" min="11" style="1" width="12"/>
    <col collapsed="false" customWidth="true" hidden="false" outlineLevel="0" max="12" min="12" style="1" width="14"/>
  </cols>
  <sheetData>
    <row r="1" customFormat="false" ht="15" hidden="false" customHeight="true" outlineLevel="0" collapsed="false">
      <c r="A1" s="40" t="s">
        <v>129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customFormat="false" ht="36" hidden="false" customHeight="true" outlineLevel="0" collapsed="false">
      <c r="A2" s="42" t="s">
        <v>130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4" customFormat="false" ht="15" hidden="false" customHeight="true" outlineLevel="0" collapsed="false">
      <c r="A4" s="62" t="s">
        <v>131</v>
      </c>
      <c r="C4" s="63" t="n">
        <v>75</v>
      </c>
      <c r="D4" s="64" t="s">
        <v>132</v>
      </c>
    </row>
    <row r="5" customFormat="false" ht="15" hidden="false" customHeight="true" outlineLevel="0" collapsed="false">
      <c r="A5" s="62" t="s">
        <v>133</v>
      </c>
      <c r="C5" s="65" t="n">
        <v>0.2</v>
      </c>
      <c r="D5" s="64" t="s">
        <v>134</v>
      </c>
    </row>
    <row r="6" customFormat="false" ht="36" hidden="false" customHeight="true" outlineLevel="0" collapsed="false">
      <c r="A6" s="43" t="s">
        <v>60</v>
      </c>
      <c r="B6" s="43" t="s">
        <v>135</v>
      </c>
      <c r="C6" s="43" t="s">
        <v>84</v>
      </c>
      <c r="D6" s="43" t="s">
        <v>85</v>
      </c>
      <c r="E6" s="43" t="s">
        <v>136</v>
      </c>
      <c r="F6" s="43" t="s">
        <v>137</v>
      </c>
      <c r="G6" s="43" t="s">
        <v>138</v>
      </c>
      <c r="H6" s="43" t="s">
        <v>83</v>
      </c>
      <c r="I6" s="43" t="s">
        <v>139</v>
      </c>
      <c r="J6" s="43" t="s">
        <v>140</v>
      </c>
      <c r="K6" s="43" t="s">
        <v>90</v>
      </c>
      <c r="L6" s="43" t="s">
        <v>91</v>
      </c>
    </row>
    <row r="7" customFormat="false" ht="15" hidden="false" customHeight="true" outlineLevel="0" collapsed="false">
      <c r="A7" s="56" t="n">
        <v>65</v>
      </c>
      <c r="B7" s="54" t="str">
        <f aca="false">IF(A7&gt;=C4,"Single","MFJ")</f>
        <v>MFJ</v>
      </c>
      <c r="C7" s="45" t="n">
        <f aca="false">'Withdrawal Plan'!H3</f>
        <v>0</v>
      </c>
      <c r="D7" s="45" t="n">
        <f aca="false">IF(A7&gt;=C4,0,'Withdrawal Plan'!I3)</f>
        <v>0</v>
      </c>
      <c r="E7" s="45" t="n">
        <f aca="false">C7+D7</f>
        <v>0</v>
      </c>
      <c r="F7" s="45" t="n">
        <f aca="false">'Withdrawal Plan'!B3*IF(A7&gt;=$C$4,1-$C$5,1)</f>
        <v>84000</v>
      </c>
      <c r="G7" s="45" t="n">
        <f aca="false">'Withdrawal Plan'!C3</f>
        <v>36000</v>
      </c>
      <c r="H7" s="45" t="n">
        <f aca="false">F7+G7+'Withdrawal Plan'!D3+IF(A7&gt;=C4,0,'Withdrawal Plan'!E3)+'Withdrawal Plan'!F3</f>
        <v>148320</v>
      </c>
      <c r="I7" s="45" t="n">
        <f aca="false">'Roth Conversion'!E3</f>
        <v>171050</v>
      </c>
      <c r="J7" s="45" t="n">
        <f aca="false">IF(A7&gt;=$C$4,MAX(0,IF(MAX(0,I7+E7*Inputs!B43-Inputs!B42)&lt;=11600,MAX(0,I7+E7*Inputs!B43-Inputs!B42)*0.1,IF(MAX(0,I7+E7*Inputs!B43-Inputs!B42)&lt;=47150,11600*0.1+(MAX(0,I7+E7*Inputs!B43-Inputs!B42)-11600)*0.12,IF(MAX(0,I7+E7*Inputs!B43-Inputs!B42)&lt;=100525,11600*0.1+35550*0.12+(MAX(0,I7+E7*Inputs!B43-Inputs!B42)-47150)*0.22,11600*0.1+35550*0.12+53375*0.22+(MAX(0,I7+E7*Inputs!B43-Inputs!B42)-100525)*0.24)))),MAX(0,IF(MAX(0,I7+E7*Inputs!B43-Inputs!B42)&lt;=23200,MAX(0,I7+E7*Inputs!B43-Inputs!B42)*0.1,IF(MAX(0,I7+E7*Inputs!B43-Inputs!B42)&lt;=94300,23200*0.1+(MAX(0,I7+E7*Inputs!B43-Inputs!B42)-23200)*0.12,IF(MAX(0,I7+E7*Inputs!B43-Inputs!B42)&lt;=201050,23200*0.1+71100*0.12+(MAX(0,I7+E7*Inputs!B43-Inputs!B42)-94300)*0.22,23200*0.1+71100*0.12+106750*0.22+(MAX(0,I7+E7*Inputs!B43-Inputs!B42)-201050)*0.24)))))</f>
        <v>21137</v>
      </c>
      <c r="K7" s="45" t="n">
        <f aca="false">ROUND(I7*0.0637,0)</f>
        <v>10896</v>
      </c>
      <c r="L7" s="45" t="n">
        <f aca="false">E7+I7-H7-J7-K7</f>
        <v>-9303</v>
      </c>
    </row>
    <row r="8" customFormat="false" ht="15" hidden="false" customHeight="true" outlineLevel="0" collapsed="false">
      <c r="A8" s="53" t="n">
        <v>66</v>
      </c>
      <c r="B8" s="57" t="str">
        <f aca="false">IF(A8&gt;=C4,"Single","MFJ")</f>
        <v>MFJ</v>
      </c>
      <c r="C8" s="49" t="n">
        <f aca="false">'Withdrawal Plan'!H4</f>
        <v>0</v>
      </c>
      <c r="D8" s="49" t="n">
        <f aca="false">IF(A8&gt;=C4,0,'Withdrawal Plan'!I4)</f>
        <v>0</v>
      </c>
      <c r="E8" s="49" t="n">
        <f aca="false">C8+D8</f>
        <v>0</v>
      </c>
      <c r="F8" s="49" t="n">
        <f aca="false">'Withdrawal Plan'!B4*IF(A8&gt;=$C$4,1-$C$5,1)</f>
        <v>86520</v>
      </c>
      <c r="G8" s="49" t="n">
        <f aca="false">'Withdrawal Plan'!C4</f>
        <v>36000</v>
      </c>
      <c r="H8" s="49" t="n">
        <f aca="false">F8+G8+'Withdrawal Plan'!D4+IF(A8&gt;=C4,0,'Withdrawal Plan'!E4)+'Withdrawal Plan'!F4</f>
        <v>150951</v>
      </c>
      <c r="I8" s="49" t="n">
        <f aca="false">'Roth Conversion'!E4</f>
        <v>171050</v>
      </c>
      <c r="J8" s="49" t="n">
        <f aca="false">IF(A8&gt;=$C$4,MAX(0,IF(MAX(0,I8+E8*Inputs!B43-Inputs!B42)&lt;=11600,MAX(0,I8+E8*Inputs!B43-Inputs!B42)*0.1,IF(MAX(0,I8+E8*Inputs!B43-Inputs!B42)&lt;=47150,11600*0.1+(MAX(0,I8+E8*Inputs!B43-Inputs!B42)-11600)*0.12,IF(MAX(0,I8+E8*Inputs!B43-Inputs!B42)&lt;=100525,11600*0.1+35550*0.12+(MAX(0,I8+E8*Inputs!B43-Inputs!B42)-47150)*0.22,11600*0.1+35550*0.12+53375*0.22+(MAX(0,I8+E8*Inputs!B43-Inputs!B42)-100525)*0.24)))),MAX(0,IF(MAX(0,I8+E8*Inputs!B43-Inputs!B42)&lt;=23200,MAX(0,I8+E8*Inputs!B43-Inputs!B42)*0.1,IF(MAX(0,I8+E8*Inputs!B43-Inputs!B42)&lt;=94300,23200*0.1+(MAX(0,I8+E8*Inputs!B43-Inputs!B42)-23200)*0.12,IF(MAX(0,I8+E8*Inputs!B43-Inputs!B42)&lt;=201050,23200*0.1+71100*0.12+(MAX(0,I8+E8*Inputs!B43-Inputs!B42)-94300)*0.22,23200*0.1+71100*0.12+106750*0.22+(MAX(0,I8+E8*Inputs!B43-Inputs!B42)-201050)*0.24)))))</f>
        <v>21137</v>
      </c>
      <c r="K8" s="49" t="n">
        <f aca="false">ROUND(I8*0.0637,0)</f>
        <v>10896</v>
      </c>
      <c r="L8" s="49" t="n">
        <f aca="false">E8+I8-H8-J8-K8</f>
        <v>-11934</v>
      </c>
    </row>
    <row r="9" customFormat="false" ht="15" hidden="false" customHeight="true" outlineLevel="0" collapsed="false">
      <c r="A9" s="56" t="n">
        <v>67</v>
      </c>
      <c r="B9" s="54" t="str">
        <f aca="false">IF(A9&gt;=C4,"Single","MFJ")</f>
        <v>MFJ</v>
      </c>
      <c r="C9" s="45" t="n">
        <f aca="false">'Withdrawal Plan'!H5</f>
        <v>47664</v>
      </c>
      <c r="D9" s="45" t="n">
        <f aca="false">IF(A9&gt;=C4,0,'Withdrawal Plan'!I5)</f>
        <v>0</v>
      </c>
      <c r="E9" s="45" t="n">
        <f aca="false">C9+D9</f>
        <v>47664</v>
      </c>
      <c r="F9" s="45" t="n">
        <f aca="false">'Withdrawal Plan'!B5*IF(A9&gt;=$C$4,1-$C$5,1)</f>
        <v>89115.6</v>
      </c>
      <c r="G9" s="45" t="n">
        <f aca="false">'Withdrawal Plan'!C5</f>
        <v>36000</v>
      </c>
      <c r="H9" s="45" t="n">
        <f aca="false">F9+G9+'Withdrawal Plan'!D5+IF(A9&gt;=C4,0,'Withdrawal Plan'!E5)+'Withdrawal Plan'!F5</f>
        <v>153663.15</v>
      </c>
      <c r="I9" s="45" t="n">
        <f aca="false">'Roth Conversion'!E5</f>
        <v>130535.6</v>
      </c>
      <c r="J9" s="45" t="n">
        <f aca="false">IF(A9&gt;=$C$4,MAX(0,IF(MAX(0,I9+E9*Inputs!B43-Inputs!B42)&lt;=11600,MAX(0,I9+E9*Inputs!B43-Inputs!B42)*0.1,IF(MAX(0,I9+E9*Inputs!B43-Inputs!B42)&lt;=47150,11600*0.1+(MAX(0,I9+E9*Inputs!B43-Inputs!B42)-11600)*0.12,IF(MAX(0,I9+E9*Inputs!B43-Inputs!B42)&lt;=100525,11600*0.1+35550*0.12+(MAX(0,I9+E9*Inputs!B43-Inputs!B42)-47150)*0.22,11600*0.1+35550*0.12+53375*0.22+(MAX(0,I9+E9*Inputs!B43-Inputs!B42)-100525)*0.24)))),MAX(0,IF(MAX(0,I9+E9*Inputs!B43-Inputs!B42)&lt;=23200,MAX(0,I9+E9*Inputs!B43-Inputs!B42)*0.1,IF(MAX(0,I9+E9*Inputs!B43-Inputs!B42)&lt;=94300,23200*0.1+(MAX(0,I9+E9*Inputs!B43-Inputs!B42)-23200)*0.12,IF(MAX(0,I9+E9*Inputs!B43-Inputs!B42)&lt;=201050,23200*0.1+71100*0.12+(MAX(0,I9+E9*Inputs!B43-Inputs!B42)-94300)*0.22,23200*0.1+71100*0.12+106750*0.22+(MAX(0,I9+E9*Inputs!B43-Inputs!B42)-201050)*0.24)))))</f>
        <v>21137</v>
      </c>
      <c r="K9" s="45" t="n">
        <f aca="false">ROUND(I9*0.0637,0)</f>
        <v>8315</v>
      </c>
      <c r="L9" s="45" t="n">
        <f aca="false">E9+I9-H9-J9-K9</f>
        <v>-4915.54999999996</v>
      </c>
    </row>
    <row r="10" customFormat="false" ht="15" hidden="false" customHeight="true" outlineLevel="0" collapsed="false">
      <c r="A10" s="53" t="n">
        <v>68</v>
      </c>
      <c r="B10" s="57" t="str">
        <f aca="false">IF(A10&gt;=C4,"Single","MFJ")</f>
        <v>MFJ</v>
      </c>
      <c r="C10" s="49" t="n">
        <f aca="false">'Withdrawal Plan'!H6</f>
        <v>48855.6</v>
      </c>
      <c r="D10" s="49" t="n">
        <f aca="false">IF(A10&gt;=C4,0,'Withdrawal Plan'!I6)</f>
        <v>0</v>
      </c>
      <c r="E10" s="49" t="n">
        <f aca="false">C10+D10</f>
        <v>48855.6</v>
      </c>
      <c r="F10" s="49" t="n">
        <f aca="false">'Withdrawal Plan'!B6*IF(A10&gt;=$C$4,1-$C$5,1)</f>
        <v>91789.068</v>
      </c>
      <c r="G10" s="49" t="n">
        <f aca="false">'Withdrawal Plan'!C6</f>
        <v>36000</v>
      </c>
      <c r="H10" s="49" t="n">
        <f aca="false">F10+G10+'Withdrawal Plan'!D6+IF(A10&gt;=C4,0,'Withdrawal Plan'!E6)+'Withdrawal Plan'!F6</f>
        <v>156458.9955</v>
      </c>
      <c r="I10" s="49" t="n">
        <f aca="false">'Roth Conversion'!E6</f>
        <v>129522.74</v>
      </c>
      <c r="J10" s="49" t="n">
        <f aca="false">IF(A10&gt;=$C$4,MAX(0,IF(MAX(0,I10+E10*Inputs!B43-Inputs!B42)&lt;=11600,MAX(0,I10+E10*Inputs!B43-Inputs!B42)*0.1,IF(MAX(0,I10+E10*Inputs!B43-Inputs!B42)&lt;=47150,11600*0.1+(MAX(0,I10+E10*Inputs!B43-Inputs!B42)-11600)*0.12,IF(MAX(0,I10+E10*Inputs!B43-Inputs!B42)&lt;=100525,11600*0.1+35550*0.12+(MAX(0,I10+E10*Inputs!B43-Inputs!B42)-47150)*0.22,11600*0.1+35550*0.12+53375*0.22+(MAX(0,I10+E10*Inputs!B43-Inputs!B42)-100525)*0.24)))),MAX(0,IF(MAX(0,I10+E10*Inputs!B43-Inputs!B42)&lt;=23200,MAX(0,I10+E10*Inputs!B43-Inputs!B42)*0.1,IF(MAX(0,I10+E10*Inputs!B43-Inputs!B42)&lt;=94300,23200*0.1+(MAX(0,I10+E10*Inputs!B43-Inputs!B42)-23200)*0.12,IF(MAX(0,I10+E10*Inputs!B43-Inputs!B42)&lt;=201050,23200*0.1+71100*0.12+(MAX(0,I10+E10*Inputs!B43-Inputs!B42)-94300)*0.22,23200*0.1+71100*0.12+106750*0.22+(MAX(0,I10+E10*Inputs!B43-Inputs!B42)-201050)*0.24)))))</f>
        <v>21137</v>
      </c>
      <c r="K10" s="49" t="n">
        <f aca="false">ROUND(I10*0.0637,0)</f>
        <v>8251</v>
      </c>
      <c r="L10" s="49" t="n">
        <f aca="false">E10+I10-H10-J10-K10</f>
        <v>-7468.65549999999</v>
      </c>
    </row>
    <row r="11" customFormat="false" ht="15" hidden="false" customHeight="true" outlineLevel="0" collapsed="false">
      <c r="A11" s="56" t="n">
        <v>69</v>
      </c>
      <c r="B11" s="54" t="str">
        <f aca="false">IF(A11&gt;=C4,"Single","MFJ")</f>
        <v>MFJ</v>
      </c>
      <c r="C11" s="45" t="n">
        <f aca="false">'Withdrawal Plan'!H7</f>
        <v>50076.99</v>
      </c>
      <c r="D11" s="45" t="n">
        <f aca="false">IF(A11&gt;=C4,0,'Withdrawal Plan'!I7)</f>
        <v>0</v>
      </c>
      <c r="E11" s="45" t="n">
        <f aca="false">C11+D11</f>
        <v>50076.99</v>
      </c>
      <c r="F11" s="45" t="n">
        <f aca="false">'Withdrawal Plan'!B7*IF(A11&gt;=$C$4,1-$C$5,1)</f>
        <v>94542.74004</v>
      </c>
      <c r="G11" s="45" t="n">
        <f aca="false">'Withdrawal Plan'!C7</f>
        <v>36000</v>
      </c>
      <c r="H11" s="45" t="n">
        <f aca="false">F11+G11+'Withdrawal Plan'!D7+IF(A11&gt;=C4,0,'Withdrawal Plan'!E7)+'Withdrawal Plan'!F7</f>
        <v>159341.163915</v>
      </c>
      <c r="I11" s="45" t="n">
        <f aca="false">'Roth Conversion'!E7</f>
        <v>128484.5585</v>
      </c>
      <c r="J11" s="45" t="n">
        <f aca="false">IF(A11&gt;=$C$4,MAX(0,IF(MAX(0,I11+E11*Inputs!B43-Inputs!B42)&lt;=11600,MAX(0,I11+E11*Inputs!B43-Inputs!B42)*0.1,IF(MAX(0,I11+E11*Inputs!B43-Inputs!B42)&lt;=47150,11600*0.1+(MAX(0,I11+E11*Inputs!B43-Inputs!B42)-11600)*0.12,IF(MAX(0,I11+E11*Inputs!B43-Inputs!B42)&lt;=100525,11600*0.1+35550*0.12+(MAX(0,I11+E11*Inputs!B43-Inputs!B42)-47150)*0.22,11600*0.1+35550*0.12+53375*0.22+(MAX(0,I11+E11*Inputs!B43-Inputs!B42)-100525)*0.24)))),MAX(0,IF(MAX(0,I11+E11*Inputs!B43-Inputs!B42)&lt;=23200,MAX(0,I11+E11*Inputs!B43-Inputs!B42)*0.1,IF(MAX(0,I11+E11*Inputs!B43-Inputs!B42)&lt;=94300,23200*0.1+(MAX(0,I11+E11*Inputs!B43-Inputs!B42)-23200)*0.12,IF(MAX(0,I11+E11*Inputs!B43-Inputs!B42)&lt;=201050,23200*0.1+71100*0.12+(MAX(0,I11+E11*Inputs!B43-Inputs!B42)-94300)*0.22,23200*0.1+71100*0.12+106750*0.22+(MAX(0,I11+E11*Inputs!B43-Inputs!B42)-201050)*0.24)))))</f>
        <v>21137</v>
      </c>
      <c r="K11" s="45" t="n">
        <f aca="false">ROUND(I11*0.0637,0)</f>
        <v>8184</v>
      </c>
      <c r="L11" s="45" t="n">
        <f aca="false">E11+I11-H11-J11-K11</f>
        <v>-10100.615415</v>
      </c>
    </row>
    <row r="12" customFormat="false" ht="15" hidden="false" customHeight="true" outlineLevel="0" collapsed="false">
      <c r="A12" s="53" t="n">
        <v>70</v>
      </c>
      <c r="B12" s="57" t="str">
        <f aca="false">IF(A12&gt;=C4,"Single","MFJ")</f>
        <v>MFJ</v>
      </c>
      <c r="C12" s="49" t="n">
        <f aca="false">'Withdrawal Plan'!H8</f>
        <v>51328.91475</v>
      </c>
      <c r="D12" s="49" t="n">
        <f aca="false">IF(A12&gt;=C4,0,'Withdrawal Plan'!I8)</f>
        <v>23832</v>
      </c>
      <c r="E12" s="49" t="n">
        <f aca="false">C12+D12</f>
        <v>75160.91475</v>
      </c>
      <c r="F12" s="49" t="n">
        <f aca="false">'Withdrawal Plan'!B8*IF(A12&gt;=$C$4,1-$C$5,1)</f>
        <v>97379.0222412</v>
      </c>
      <c r="G12" s="49" t="n">
        <f aca="false">'Withdrawal Plan'!C8</f>
        <v>36000</v>
      </c>
      <c r="H12" s="49" t="n">
        <f aca="false">F12+G12+'Withdrawal Plan'!D8+IF(A12&gt;=C4,0,'Withdrawal Plan'!E8)+'Withdrawal Plan'!F8</f>
        <v>152712.36730995</v>
      </c>
      <c r="I12" s="49" t="n">
        <f aca="false">'Roth Conversion'!E8</f>
        <v>127420.4224625</v>
      </c>
      <c r="J12" s="49" t="n">
        <f aca="false">IF(A12&gt;=$C$4,MAX(0,IF(MAX(0,I12+E12*Inputs!B43-Inputs!B42)&lt;=11600,MAX(0,I12+E12*Inputs!B43-Inputs!B42)*0.1,IF(MAX(0,I12+E12*Inputs!B43-Inputs!B42)&lt;=47150,11600*0.1+(MAX(0,I12+E12*Inputs!B43-Inputs!B42)-11600)*0.12,IF(MAX(0,I12+E12*Inputs!B43-Inputs!B42)&lt;=100525,11600*0.1+35550*0.12+(MAX(0,I12+E12*Inputs!B43-Inputs!B42)-47150)*0.22,11600*0.1+35550*0.12+53375*0.22+(MAX(0,I12+E12*Inputs!B43-Inputs!B42)-100525)*0.24)))),MAX(0,IF(MAX(0,I12+E12*Inputs!B43-Inputs!B42)&lt;=23200,MAX(0,I12+E12*Inputs!B43-Inputs!B42)*0.1,IF(MAX(0,I12+E12*Inputs!B43-Inputs!B42)&lt;=94300,23200*0.1+(MAX(0,I12+E12*Inputs!B43-Inputs!B42)-23200)*0.12,IF(MAX(0,I12+E12*Inputs!B43-Inputs!B42)&lt;=201050,23200*0.1+71100*0.12+(MAX(0,I12+E12*Inputs!B43-Inputs!B42)-94300)*0.22,23200*0.1+71100*0.12+106750*0.22+(MAX(0,I12+E12*Inputs!B43-Inputs!B42)-201050)*0.24)))))</f>
        <v>25593.584</v>
      </c>
      <c r="K12" s="49" t="n">
        <f aca="false">ROUND(I12*0.0637,0)</f>
        <v>8117</v>
      </c>
      <c r="L12" s="49" t="n">
        <f aca="false">E12+I12-H12-J12-K12</f>
        <v>16158.38590255</v>
      </c>
    </row>
    <row r="13" customFormat="false" ht="15" hidden="false" customHeight="true" outlineLevel="0" collapsed="false">
      <c r="A13" s="56" t="n">
        <v>71</v>
      </c>
      <c r="B13" s="54" t="str">
        <f aca="false">IF(A13&gt;=C4,"Single","MFJ")</f>
        <v>MFJ</v>
      </c>
      <c r="C13" s="45" t="n">
        <f aca="false">'Withdrawal Plan'!H9</f>
        <v>52612.13761875</v>
      </c>
      <c r="D13" s="45" t="n">
        <f aca="false">IF(A13&gt;=C4,0,'Withdrawal Plan'!I9)</f>
        <v>24427.8</v>
      </c>
      <c r="E13" s="45" t="n">
        <f aca="false">C13+D13</f>
        <v>77039.93761875</v>
      </c>
      <c r="F13" s="45" t="n">
        <f aca="false">'Withdrawal Plan'!B9*IF(A13&gt;=$C$4,1-$C$5,1)</f>
        <v>100300.392908436</v>
      </c>
      <c r="G13" s="45" t="n">
        <f aca="false">'Withdrawal Plan'!C9</f>
        <v>36000</v>
      </c>
      <c r="H13" s="45" t="n">
        <f aca="false">F13+G13+'Withdrawal Plan'!D9+IF(A13&gt;=C4,0,'Withdrawal Plan'!E9)+'Withdrawal Plan'!F9</f>
        <v>155775.405230624</v>
      </c>
      <c r="I13" s="45" t="n">
        <f aca="false">'Roth Conversion'!E9</f>
        <v>126329.683024063</v>
      </c>
      <c r="J13" s="45" t="n">
        <f aca="false">IF(A13&gt;=$C$4,MAX(0,IF(MAX(0,I13+E13*Inputs!B43-Inputs!B42)&lt;=11600,MAX(0,I13+E13*Inputs!B43-Inputs!B42)*0.1,IF(MAX(0,I13+E13*Inputs!B43-Inputs!B42)&lt;=47150,11600*0.1+(MAX(0,I13+E13*Inputs!B43-Inputs!B42)-11600)*0.12,IF(MAX(0,I13+E13*Inputs!B43-Inputs!B42)&lt;=100525,11600*0.1+35550*0.12+(MAX(0,I13+E13*Inputs!B43-Inputs!B42)-47150)*0.22,11600*0.1+35550*0.12+53375*0.22+(MAX(0,I13+E13*Inputs!B43-Inputs!B42)-100525)*0.24)))),MAX(0,IF(MAX(0,I13+E13*Inputs!B43-Inputs!B42)&lt;=23200,MAX(0,I13+E13*Inputs!B43-Inputs!B42)*0.1,IF(MAX(0,I13+E13*Inputs!B43-Inputs!B42)&lt;=94300,23200*0.1+(MAX(0,I13+E13*Inputs!B43-Inputs!B42)-23200)*0.12,IF(MAX(0,I13+E13*Inputs!B43-Inputs!B42)&lt;=201050,23200*0.1+71100*0.12+(MAX(0,I13+E13*Inputs!B43-Inputs!B42)-94300)*0.22,23200*0.1+71100*0.12+106750*0.22+(MAX(0,I13+E13*Inputs!B43-Inputs!B42)-201050)*0.24)))))</f>
        <v>25704.9986</v>
      </c>
      <c r="K13" s="45" t="n">
        <f aca="false">ROUND(I13*0.0637,0)</f>
        <v>8047</v>
      </c>
      <c r="L13" s="45" t="n">
        <f aca="false">E13+I13-H13-J13-K13</f>
        <v>13842.216812189</v>
      </c>
    </row>
    <row r="14" customFormat="false" ht="15" hidden="false" customHeight="true" outlineLevel="0" collapsed="false">
      <c r="A14" s="53" t="n">
        <v>72</v>
      </c>
      <c r="B14" s="57" t="str">
        <f aca="false">IF(A14&gt;=C4,"Single","MFJ")</f>
        <v>MFJ</v>
      </c>
      <c r="C14" s="49" t="n">
        <f aca="false">'Withdrawal Plan'!H10</f>
        <v>53927.4410592187</v>
      </c>
      <c r="D14" s="49" t="n">
        <f aca="false">IF(A14&gt;=C4,0,'Withdrawal Plan'!I10)</f>
        <v>25038.495</v>
      </c>
      <c r="E14" s="49" t="n">
        <f aca="false">C14+D14</f>
        <v>78965.9360592187</v>
      </c>
      <c r="F14" s="49" t="n">
        <f aca="false">'Withdrawal Plan'!B10*IF(A14&gt;=$C$4,1-$C$5,1)</f>
        <v>103309.404695689</v>
      </c>
      <c r="G14" s="49" t="n">
        <f aca="false">'Withdrawal Plan'!C10</f>
        <v>36000</v>
      </c>
      <c r="H14" s="49" t="n">
        <f aca="false">F14+G14+'Withdrawal Plan'!D10+IF(A14&gt;=C4,0,'Withdrawal Plan'!E10)+'Withdrawal Plan'!F10</f>
        <v>158933.167633986</v>
      </c>
      <c r="I14" s="49" t="n">
        <f aca="false">'Roth Conversion'!E10</f>
        <v>125211.675099664</v>
      </c>
      <c r="J14" s="49" t="n">
        <f aca="false">IF(A14&gt;=$C$4,MAX(0,IF(MAX(0,I14+E14*Inputs!B43-Inputs!B42)&lt;=11600,MAX(0,I14+E14*Inputs!B43-Inputs!B42)*0.1,IF(MAX(0,I14+E14*Inputs!B43-Inputs!B42)&lt;=47150,11600*0.1+(MAX(0,I14+E14*Inputs!B43-Inputs!B42)-11600)*0.12,IF(MAX(0,I14+E14*Inputs!B43-Inputs!B42)&lt;=100525,11600*0.1+35550*0.12+(MAX(0,I14+E14*Inputs!B43-Inputs!B42)-47150)*0.22,11600*0.1+35550*0.12+53375*0.22+(MAX(0,I14+E14*Inputs!B43-Inputs!B42)-100525)*0.24)))),MAX(0,IF(MAX(0,I14+E14*Inputs!B43-Inputs!B42)&lt;=23200,MAX(0,I14+E14*Inputs!B43-Inputs!B42)*0.1,IF(MAX(0,I14+E14*Inputs!B43-Inputs!B42)&lt;=94300,23200*0.1+(MAX(0,I14+E14*Inputs!B43-Inputs!B42)-23200)*0.12,IF(MAX(0,I14+E14*Inputs!B43-Inputs!B42)&lt;=201050,23200*0.1+71100*0.12+(MAX(0,I14+E14*Inputs!B43-Inputs!B42)-94300)*0.22,23200*0.1+71100*0.12+106750*0.22+(MAX(0,I14+E14*Inputs!B43-Inputs!B42)-201050)*0.24)))))</f>
        <v>25819.198565</v>
      </c>
      <c r="K14" s="49" t="n">
        <f aca="false">ROUND(I14*0.0637,0)</f>
        <v>7976</v>
      </c>
      <c r="L14" s="49" t="n">
        <f aca="false">E14+I14-H14-J14-K14</f>
        <v>11449.2449598968</v>
      </c>
    </row>
    <row r="15" customFormat="false" ht="15" hidden="false" customHeight="true" outlineLevel="0" collapsed="false">
      <c r="A15" s="44" t="n">
        <v>73</v>
      </c>
      <c r="B15" s="54" t="str">
        <f aca="false">IF(A15&gt;=C4,"Single","MFJ")</f>
        <v>MFJ</v>
      </c>
      <c r="C15" s="45" t="n">
        <f aca="false">'Withdrawal Plan'!H11</f>
        <v>55275.6270856992</v>
      </c>
      <c r="D15" s="45" t="n">
        <f aca="false">IF(A15&gt;=C4,0,'Withdrawal Plan'!I11)</f>
        <v>25664.457375</v>
      </c>
      <c r="E15" s="45" t="n">
        <f aca="false">C15+D15</f>
        <v>80940.0844606992</v>
      </c>
      <c r="F15" s="45" t="n">
        <f aca="false">'Withdrawal Plan'!B11*IF(A15&gt;=$C$4,1-$C$5,1)</f>
        <v>106408.68683656</v>
      </c>
      <c r="G15" s="45" t="n">
        <f aca="false">'Withdrawal Plan'!C11</f>
        <v>36000</v>
      </c>
      <c r="H15" s="45" t="n">
        <f aca="false">F15+G15+'Withdrawal Plan'!D11+IF(A15&gt;=C4,0,'Withdrawal Plan'!E11)+'Withdrawal Plan'!F11</f>
        <v>162188.637921772</v>
      </c>
      <c r="I15" s="45" t="n">
        <f aca="false">'Roth Conversion'!E11</f>
        <v>124065.716977156</v>
      </c>
      <c r="J15" s="45" t="n">
        <f aca="false">IF(A15&gt;=$C$4,MAX(0,IF(MAX(0,I15+E15*Inputs!B43-Inputs!B42)&lt;=11600,MAX(0,I15+E15*Inputs!B43-Inputs!B42)*0.1,IF(MAX(0,I15+E15*Inputs!B43-Inputs!B42)&lt;=47150,11600*0.1+(MAX(0,I15+E15*Inputs!B43-Inputs!B42)-11600)*0.12,IF(MAX(0,I15+E15*Inputs!B43-Inputs!B42)&lt;=100525,11600*0.1+35550*0.12+(MAX(0,I15+E15*Inputs!B43-Inputs!B42)-47150)*0.22,11600*0.1+35550*0.12+53375*0.22+(MAX(0,I15+E15*Inputs!B43-Inputs!B42)-100525)*0.24)))),MAX(0,IF(MAX(0,I15+E15*Inputs!B43-Inputs!B42)&lt;=23200,MAX(0,I15+E15*Inputs!B43-Inputs!B42)*0.1,IF(MAX(0,I15+E15*Inputs!B43-Inputs!B42)&lt;=94300,23200*0.1+(MAX(0,I15+E15*Inputs!B43-Inputs!B42)-23200)*0.12,IF(MAX(0,I15+E15*Inputs!B43-Inputs!B42)&lt;=201050,23200*0.1+71100*0.12+(MAX(0,I15+E15*Inputs!B43-Inputs!B42)-94300)*0.22,23200*0.1+71100*0.12+106750*0.22+(MAX(0,I15+E15*Inputs!B43-Inputs!B42)-201050)*0.24)))))</f>
        <v>25936.253529125</v>
      </c>
      <c r="K15" s="45" t="n">
        <f aca="false">ROUND(I15*0.0637,0)</f>
        <v>7903</v>
      </c>
      <c r="L15" s="45" t="n">
        <f aca="false">E15+I15-H15-J15-K15</f>
        <v>8977.90998695836</v>
      </c>
    </row>
    <row r="16" customFormat="false" ht="15" hidden="false" customHeight="true" outlineLevel="0" collapsed="false">
      <c r="A16" s="44" t="n">
        <v>74</v>
      </c>
      <c r="B16" s="57" t="str">
        <f aca="false">IF(A16&gt;=C4,"Single","MFJ")</f>
        <v>MFJ</v>
      </c>
      <c r="C16" s="49" t="n">
        <f aca="false">'Withdrawal Plan'!H12</f>
        <v>56657.5177628417</v>
      </c>
      <c r="D16" s="49" t="n">
        <f aca="false">IF(A16&gt;=C4,0,'Withdrawal Plan'!I12)</f>
        <v>26306.068809375</v>
      </c>
      <c r="E16" s="49" t="n">
        <f aca="false">C16+D16</f>
        <v>82963.5865722167</v>
      </c>
      <c r="F16" s="49" t="n">
        <f aca="false">'Withdrawal Plan'!B12*IF(A16&gt;=$C$4,1-$C$5,1)</f>
        <v>109600.947441657</v>
      </c>
      <c r="G16" s="49" t="n">
        <f aca="false">'Withdrawal Plan'!C12</f>
        <v>36000</v>
      </c>
      <c r="H16" s="49" t="n">
        <f aca="false">F16+G16+'Withdrawal Plan'!D12+IF(A16&gt;=C4,0,'Withdrawal Plan'!E12)+'Withdrawal Plan'!F12</f>
        <v>165544.896081129</v>
      </c>
      <c r="I16" s="49" t="n">
        <f aca="false">'Roth Conversion'!E12</f>
        <v>122891.109901585</v>
      </c>
      <c r="J16" s="49" t="n">
        <f aca="false">IF(A16&gt;=$C$4,MAX(0,IF(MAX(0,I16+E16*Inputs!B43-Inputs!B42)&lt;=11600,MAX(0,I16+E16*Inputs!B43-Inputs!B42)*0.1,IF(MAX(0,I16+E16*Inputs!B43-Inputs!B42)&lt;=47150,11600*0.1+(MAX(0,I16+E16*Inputs!B43-Inputs!B42)-11600)*0.12,IF(MAX(0,I16+E16*Inputs!B43-Inputs!B42)&lt;=100525,11600*0.1+35550*0.12+(MAX(0,I16+E16*Inputs!B43-Inputs!B42)-47150)*0.22,11600*0.1+35550*0.12+53375*0.22+(MAX(0,I16+E16*Inputs!B43-Inputs!B42)-100525)*0.24)))),MAX(0,IF(MAX(0,I16+E16*Inputs!B43-Inputs!B42)&lt;=23200,MAX(0,I16+E16*Inputs!B43-Inputs!B42)*0.1,IF(MAX(0,I16+E16*Inputs!B43-Inputs!B42)&lt;=94300,23200*0.1+(MAX(0,I16+E16*Inputs!B43-Inputs!B42)-23200)*0.12,IF(MAX(0,I16+E16*Inputs!B43-Inputs!B42)&lt;=201050,23200*0.1+71100*0.12+(MAX(0,I16+E16*Inputs!B43-Inputs!B42)-94300)*0.22,23200*0.1+71100*0.12+106750*0.22+(MAX(0,I16+E16*Inputs!B43-Inputs!B42)-201050)*0.24)))))</f>
        <v>26056.2348673531</v>
      </c>
      <c r="K16" s="49" t="n">
        <f aca="false">ROUND(I16*0.0637,0)</f>
        <v>7828</v>
      </c>
      <c r="L16" s="49" t="n">
        <f aca="false">E16+I16-H16-J16-K16</f>
        <v>6425.56552531924</v>
      </c>
    </row>
    <row r="17" customFormat="false" ht="15" hidden="false" customHeight="true" outlineLevel="0" collapsed="false">
      <c r="A17" s="44" t="n">
        <v>75</v>
      </c>
      <c r="B17" s="54" t="str">
        <f aca="false">IF(A17&gt;=C4,"Single","MFJ")</f>
        <v>Single</v>
      </c>
      <c r="C17" s="45" t="n">
        <f aca="false">'Withdrawal Plan'!H13</f>
        <v>58073.9557069127</v>
      </c>
      <c r="D17" s="45" t="n">
        <f aca="false">IF(A17&gt;=C4,0,'Withdrawal Plan'!I13)</f>
        <v>0</v>
      </c>
      <c r="E17" s="45" t="n">
        <f aca="false">C17+D17</f>
        <v>58073.9557069127</v>
      </c>
      <c r="F17" s="45" t="n">
        <f aca="false">'Withdrawal Plan'!B13*IF(A17&gt;=$C$4,1-$C$5,1)</f>
        <v>90311.180691925</v>
      </c>
      <c r="G17" s="45" t="n">
        <f aca="false">'Withdrawal Plan'!C13</f>
        <v>36000</v>
      </c>
      <c r="H17" s="45" t="n">
        <f aca="false">F17+G17+'Withdrawal Plan'!D13+IF(A17&gt;=C4,0,'Withdrawal Plan'!E13)+'Withdrawal Plan'!F13</f>
        <v>146427.326763371</v>
      </c>
      <c r="I17" s="45" t="n">
        <f aca="false">'Roth Conversion'!E13</f>
        <v>121687.137649124</v>
      </c>
      <c r="J17" s="45" t="n">
        <f aca="false">IF(A17&gt;=$C$4,MAX(0,IF(MAX(0,I17+E17*Inputs!B43-Inputs!B42)&lt;=11600,MAX(0,I17+E17*Inputs!B43-Inputs!B42)*0.1,IF(MAX(0,I17+E17*Inputs!B43-Inputs!B42)&lt;=47150,11600*0.1+(MAX(0,I17+E17*Inputs!B43-Inputs!B42)-11600)*0.12,IF(MAX(0,I17+E17*Inputs!B43-Inputs!B42)&lt;=100525,11600*0.1+35550*0.12+(MAX(0,I17+E17*Inputs!B43-Inputs!B42)-47150)*0.22,11600*0.1+35550*0.12+53375*0.22+(MAX(0,I17+E17*Inputs!B43-Inputs!B42)-100525)*0.24)))),MAX(0,IF(MAX(0,I17+E17*Inputs!B43-Inputs!B42)&lt;=23200,MAX(0,I17+E17*Inputs!B43-Inputs!B42)*0.1,IF(MAX(0,I17+E17*Inputs!B43-Inputs!B42)&lt;=94300,23200*0.1+(MAX(0,I17+E17*Inputs!B43-Inputs!B42)-23200)*0.12,IF(MAX(0,I17+E17*Inputs!B43-Inputs!B42)&lt;=201050,23200*0.1+71100*0.12+(MAX(0,I17+E17*Inputs!B43-Inputs!B42)-94300)*0.22,23200*0.1+71100*0.12+106750*0.22+(MAX(0,I17+E17*Inputs!B43-Inputs!B42)-201050)*0.24)))))</f>
        <v>26894.5</v>
      </c>
      <c r="K17" s="45" t="n">
        <f aca="false">ROUND(I17*0.0637,0)</f>
        <v>7751</v>
      </c>
      <c r="L17" s="45" t="n">
        <f aca="false">E17+I17-H17-J17-K17</f>
        <v>-1311.73340733405</v>
      </c>
    </row>
    <row r="18" customFormat="false" ht="15" hidden="false" customHeight="true" outlineLevel="0" collapsed="false">
      <c r="A18" s="44" t="n">
        <v>76</v>
      </c>
      <c r="B18" s="57" t="str">
        <f aca="false">IF(A18&gt;=C4,"Single","MFJ")</f>
        <v>Single</v>
      </c>
      <c r="C18" s="49" t="n">
        <f aca="false">'Withdrawal Plan'!H14</f>
        <v>59525.8045995855</v>
      </c>
      <c r="D18" s="49" t="n">
        <f aca="false">IF(A18&gt;=C4,0,'Withdrawal Plan'!I14)</f>
        <v>0</v>
      </c>
      <c r="E18" s="49" t="n">
        <f aca="false">C18+D18</f>
        <v>59525.8045995855</v>
      </c>
      <c r="F18" s="49" t="n">
        <f aca="false">'Withdrawal Plan'!B14*IF(A18&gt;=$C$4,1-$C$5,1)</f>
        <v>93020.5161126828</v>
      </c>
      <c r="G18" s="49" t="n">
        <f aca="false">'Withdrawal Plan'!C14</f>
        <v>36000</v>
      </c>
      <c r="H18" s="49" t="n">
        <f aca="false">F18+G18+'Withdrawal Plan'!D14+IF(A18&gt;=C4,0,'Withdrawal Plan'!E14)+'Withdrawal Plan'!F14</f>
        <v>149317.469487701</v>
      </c>
      <c r="I18" s="49" t="n">
        <f aca="false">'Roth Conversion'!E14</f>
        <v>120453.066090352</v>
      </c>
      <c r="J18" s="49" t="n">
        <f aca="false">IF(A18&gt;=$C$4,MAX(0,IF(MAX(0,I18+E18*Inputs!B43-Inputs!B42)&lt;=11600,MAX(0,I18+E18*Inputs!B43-Inputs!B42)*0.1,IF(MAX(0,I18+E18*Inputs!B43-Inputs!B42)&lt;=47150,11600*0.1+(MAX(0,I18+E18*Inputs!B43-Inputs!B42)-11600)*0.12,IF(MAX(0,I18+E18*Inputs!B43-Inputs!B42)&lt;=100525,11600*0.1+35550*0.12+(MAX(0,I18+E18*Inputs!B43-Inputs!B42)-47150)*0.22,11600*0.1+35550*0.12+53375*0.22+(MAX(0,I18+E18*Inputs!B43-Inputs!B42)-100525)*0.24)))),MAX(0,IF(MAX(0,I18+E18*Inputs!B43-Inputs!B42)&lt;=23200,MAX(0,I18+E18*Inputs!B43-Inputs!B42)*0.1,IF(MAX(0,I18+E18*Inputs!B43-Inputs!B42)&lt;=94300,23200*0.1+(MAX(0,I18+E18*Inputs!B43-Inputs!B42)-23200)*0.12,IF(MAX(0,I18+E18*Inputs!B43-Inputs!B42)&lt;=201050,23200*0.1+71100*0.12+(MAX(0,I18+E18*Inputs!B43-Inputs!B42)-94300)*0.22,23200*0.1+71100*0.12+106750*0.22+(MAX(0,I18+E18*Inputs!B43-Inputs!B42)-201050)*0.24)))))</f>
        <v>26894.5</v>
      </c>
      <c r="K18" s="49" t="n">
        <f aca="false">ROUND(I18*0.0637,0)</f>
        <v>7673</v>
      </c>
      <c r="L18" s="49" t="n">
        <f aca="false">E18+I18-H18-J18-K18</f>
        <v>-3906.09879776317</v>
      </c>
    </row>
    <row r="19" customFormat="false" ht="15" hidden="false" customHeight="true" outlineLevel="0" collapsed="false">
      <c r="A19" s="44" t="n">
        <v>77</v>
      </c>
      <c r="B19" s="54" t="str">
        <f aca="false">IF(A19&gt;=C4,"Single","MFJ")</f>
        <v>Single</v>
      </c>
      <c r="C19" s="45" t="n">
        <f aca="false">'Withdrawal Plan'!H15</f>
        <v>61013.9497145751</v>
      </c>
      <c r="D19" s="45" t="n">
        <f aca="false">IF(A19&gt;=C4,0,'Withdrawal Plan'!I15)</f>
        <v>0</v>
      </c>
      <c r="E19" s="45" t="n">
        <f aca="false">C19+D19</f>
        <v>61013.9497145751</v>
      </c>
      <c r="F19" s="45" t="n">
        <f aca="false">'Withdrawal Plan'!B15*IF(A19&gt;=$C$4,1-$C$5,1)</f>
        <v>95811.1315960633</v>
      </c>
      <c r="G19" s="45" t="n">
        <f aca="false">'Withdrawal Plan'!C15</f>
        <v>36000</v>
      </c>
      <c r="H19" s="45" t="n">
        <f aca="false">F19+G19+'Withdrawal Plan'!D15+IF(A19&gt;=C4,0,'Withdrawal Plan'!E15)+'Withdrawal Plan'!F15</f>
        <v>152297.932639832</v>
      </c>
      <c r="I19" s="45" t="n">
        <f aca="false">'Roth Conversion'!E15</f>
        <v>119188.142742611</v>
      </c>
      <c r="J19" s="45" t="n">
        <f aca="false">IF(A19&gt;=$C$4,MAX(0,IF(MAX(0,I19+E19*Inputs!B43-Inputs!B42)&lt;=11600,MAX(0,I19+E19*Inputs!B43-Inputs!B42)*0.1,IF(MAX(0,I19+E19*Inputs!B43-Inputs!B42)&lt;=47150,11600*0.1+(MAX(0,I19+E19*Inputs!B43-Inputs!B42)-11600)*0.12,IF(MAX(0,I19+E19*Inputs!B43-Inputs!B42)&lt;=100525,11600*0.1+35550*0.12+(MAX(0,I19+E19*Inputs!B43-Inputs!B42)-47150)*0.22,11600*0.1+35550*0.12+53375*0.22+(MAX(0,I19+E19*Inputs!B43-Inputs!B42)-100525)*0.24)))),MAX(0,IF(MAX(0,I19+E19*Inputs!B43-Inputs!B42)&lt;=23200,MAX(0,I19+E19*Inputs!B43-Inputs!B42)*0.1,IF(MAX(0,I19+E19*Inputs!B43-Inputs!B42)&lt;=94300,23200*0.1+(MAX(0,I19+E19*Inputs!B43-Inputs!B42)-23200)*0.12,IF(MAX(0,I19+E19*Inputs!B43-Inputs!B42)&lt;=201050,23200*0.1+71100*0.12+(MAX(0,I19+E19*Inputs!B43-Inputs!B42)-94300)*0.22,23200*0.1+71100*0.12+106750*0.22+(MAX(0,I19+E19*Inputs!B43-Inputs!B42)-201050)*0.24)))))</f>
        <v>26894.5</v>
      </c>
      <c r="K19" s="45" t="n">
        <f aca="false">ROUND(I19*0.0637,0)</f>
        <v>7592</v>
      </c>
      <c r="L19" s="45" t="n">
        <f aca="false">E19+I19-H19-J19-K19</f>
        <v>-6582.34018264615</v>
      </c>
    </row>
    <row r="20" customFormat="false" ht="15" hidden="false" customHeight="true" outlineLevel="0" collapsed="false">
      <c r="A20" s="44" t="n">
        <v>78</v>
      </c>
      <c r="B20" s="57" t="str">
        <f aca="false">IF(A20&gt;=C4,"Single","MFJ")</f>
        <v>Single</v>
      </c>
      <c r="C20" s="49" t="n">
        <f aca="false">'Withdrawal Plan'!H16</f>
        <v>62539.2984574395</v>
      </c>
      <c r="D20" s="49" t="n">
        <f aca="false">IF(A20&gt;=C4,0,'Withdrawal Plan'!I16)</f>
        <v>0</v>
      </c>
      <c r="E20" s="49" t="n">
        <f aca="false">C20+D20</f>
        <v>62539.2984574395</v>
      </c>
      <c r="F20" s="49" t="n">
        <f aca="false">'Withdrawal Plan'!B16*IF(A20&gt;=$C$4,1-$C$5,1)</f>
        <v>98685.4655439452</v>
      </c>
      <c r="G20" s="49" t="n">
        <f aca="false">'Withdrawal Plan'!C16</f>
        <v>0</v>
      </c>
      <c r="H20" s="49" t="n">
        <f aca="false">F20+G20+'Withdrawal Plan'!D16+IF(A20&gt;=C4,0,'Withdrawal Plan'!E16)+'Withdrawal Plan'!F16</f>
        <v>119371.606639903</v>
      </c>
      <c r="I20" s="49" t="n">
        <f aca="false">'Roth Conversion'!E16</f>
        <v>117891.596311176</v>
      </c>
      <c r="J20" s="49" t="n">
        <f aca="false">IF(A20&gt;=$C$4,MAX(0,IF(MAX(0,I20+E20*Inputs!B43-Inputs!B42)&lt;=11600,MAX(0,I20+E20*Inputs!B43-Inputs!B42)*0.1,IF(MAX(0,I20+E20*Inputs!B43-Inputs!B42)&lt;=47150,11600*0.1+(MAX(0,I20+E20*Inputs!B43-Inputs!B42)-11600)*0.12,IF(MAX(0,I20+E20*Inputs!B43-Inputs!B42)&lt;=100525,11600*0.1+35550*0.12+(MAX(0,I20+E20*Inputs!B43-Inputs!B42)-47150)*0.22,11600*0.1+35550*0.12+53375*0.22+(MAX(0,I20+E20*Inputs!B43-Inputs!B42)-100525)*0.24)))),MAX(0,IF(MAX(0,I20+E20*Inputs!B43-Inputs!B42)&lt;=23200,MAX(0,I20+E20*Inputs!B43-Inputs!B42)*0.1,IF(MAX(0,I20+E20*Inputs!B43-Inputs!B42)&lt;=94300,23200*0.1+(MAX(0,I20+E20*Inputs!B43-Inputs!B42)-23200)*0.12,IF(MAX(0,I20+E20*Inputs!B43-Inputs!B42)&lt;=201050,23200*0.1+71100*0.12+(MAX(0,I20+E20*Inputs!B43-Inputs!B42)-94300)*0.22,23200*0.1+71100*0.12+106750*0.22+(MAX(0,I20+E20*Inputs!B43-Inputs!B42)-201050)*0.24)))))</f>
        <v>26894.5</v>
      </c>
      <c r="K20" s="49" t="n">
        <f aca="false">ROUND(I20*0.0637,0)</f>
        <v>7510</v>
      </c>
      <c r="L20" s="49" t="n">
        <f aca="false">E20+I20-H20-J20-K20</f>
        <v>26654.7881287132</v>
      </c>
    </row>
    <row r="21" customFormat="false" ht="15" hidden="false" customHeight="true" outlineLevel="0" collapsed="false">
      <c r="A21" s="44" t="n">
        <v>79</v>
      </c>
      <c r="B21" s="54" t="str">
        <f aca="false">IF(A21&gt;=C4,"Single","MFJ")</f>
        <v>Single</v>
      </c>
      <c r="C21" s="45" t="n">
        <f aca="false">'Withdrawal Plan'!H17</f>
        <v>64102.7809188755</v>
      </c>
      <c r="D21" s="45" t="n">
        <f aca="false">IF(A21&gt;=C4,0,'Withdrawal Plan'!I17)</f>
        <v>0</v>
      </c>
      <c r="E21" s="45" t="n">
        <f aca="false">C21+D21</f>
        <v>64102.7809188755</v>
      </c>
      <c r="F21" s="45" t="n">
        <f aca="false">'Withdrawal Plan'!B17*IF(A21&gt;=$C$4,1-$C$5,1)</f>
        <v>101646.029510264</v>
      </c>
      <c r="G21" s="45" t="n">
        <f aca="false">'Withdrawal Plan'!C17</f>
        <v>0</v>
      </c>
      <c r="H21" s="45" t="n">
        <f aca="false">F21+G21+'Withdrawal Plan'!D17+IF(A21&gt;=C4,0,'Withdrawal Plan'!E17)+'Withdrawal Plan'!F17</f>
        <v>122541.477661019</v>
      </c>
      <c r="I21" s="45" t="n">
        <f aca="false">'Roth Conversion'!E17</f>
        <v>116562.636218956</v>
      </c>
      <c r="J21" s="45" t="n">
        <f aca="false">IF(A21&gt;=$C$4,MAX(0,IF(MAX(0,I21+E21*Inputs!B43-Inputs!B42)&lt;=11600,MAX(0,I21+E21*Inputs!B43-Inputs!B42)*0.1,IF(MAX(0,I21+E21*Inputs!B43-Inputs!B42)&lt;=47150,11600*0.1+(MAX(0,I21+E21*Inputs!B43-Inputs!B42)-11600)*0.12,IF(MAX(0,I21+E21*Inputs!B43-Inputs!B42)&lt;=100525,11600*0.1+35550*0.12+(MAX(0,I21+E21*Inputs!B43-Inputs!B42)-47150)*0.22,11600*0.1+35550*0.12+53375*0.22+(MAX(0,I21+E21*Inputs!B43-Inputs!B42)-100525)*0.24)))),MAX(0,IF(MAX(0,I21+E21*Inputs!B43-Inputs!B42)&lt;=23200,MAX(0,I21+E21*Inputs!B43-Inputs!B42)*0.1,IF(MAX(0,I21+E21*Inputs!B43-Inputs!B42)&lt;=94300,23200*0.1+(MAX(0,I21+E21*Inputs!B43-Inputs!B42)-23200)*0.12,IF(MAX(0,I21+E21*Inputs!B43-Inputs!B42)&lt;=201050,23200*0.1+71100*0.12+(MAX(0,I21+E21*Inputs!B43-Inputs!B42)-94300)*0.22,23200*0.1+71100*0.12+106750*0.22+(MAX(0,I21+E21*Inputs!B43-Inputs!B42)-201050)*0.24)))))</f>
        <v>26894.5</v>
      </c>
      <c r="K21" s="45" t="n">
        <f aca="false">ROUND(I21*0.0637,0)</f>
        <v>7425</v>
      </c>
      <c r="L21" s="45" t="n">
        <f aca="false">E21+I21-H21-J21-K21</f>
        <v>23804.4394768123</v>
      </c>
    </row>
    <row r="22" customFormat="false" ht="15" hidden="false" customHeight="true" outlineLevel="0" collapsed="false">
      <c r="A22" s="44" t="n">
        <v>80</v>
      </c>
      <c r="B22" s="57" t="str">
        <f aca="false">IF(A22&gt;=C4,"Single","MFJ")</f>
        <v>Single</v>
      </c>
      <c r="C22" s="49" t="n">
        <f aca="false">'Withdrawal Plan'!H18</f>
        <v>65705.3504418474</v>
      </c>
      <c r="D22" s="49" t="n">
        <f aca="false">IF(A22&gt;=C4,0,'Withdrawal Plan'!I18)</f>
        <v>0</v>
      </c>
      <c r="E22" s="49" t="n">
        <f aca="false">C22+D22</f>
        <v>65705.3504418474</v>
      </c>
      <c r="F22" s="49" t="n">
        <f aca="false">'Withdrawal Plan'!B18*IF(A22&gt;=$C$4,1-$C$5,1)</f>
        <v>104695.410395571</v>
      </c>
      <c r="G22" s="49" t="n">
        <f aca="false">'Withdrawal Plan'!C18</f>
        <v>0</v>
      </c>
      <c r="H22" s="49" t="n">
        <f aca="false">F22+G22+'Withdrawal Plan'!D18+IF(A22&gt;=C4,0,'Withdrawal Plan'!E18)+'Withdrawal Plan'!F18</f>
        <v>125810.630953865</v>
      </c>
      <c r="I22" s="49" t="n">
        <f aca="false">'Roth Conversion'!E18</f>
        <v>115200.45212443</v>
      </c>
      <c r="J22" s="49" t="n">
        <f aca="false">IF(A22&gt;=$C$4,MAX(0,IF(MAX(0,I22+E22*Inputs!B43-Inputs!B42)&lt;=11600,MAX(0,I22+E22*Inputs!B43-Inputs!B42)*0.1,IF(MAX(0,I22+E22*Inputs!B43-Inputs!B42)&lt;=47150,11600*0.1+(MAX(0,I22+E22*Inputs!B43-Inputs!B42)-11600)*0.12,IF(MAX(0,I22+E22*Inputs!B43-Inputs!B42)&lt;=100525,11600*0.1+35550*0.12+(MAX(0,I22+E22*Inputs!B43-Inputs!B42)-47150)*0.22,11600*0.1+35550*0.12+53375*0.22+(MAX(0,I22+E22*Inputs!B43-Inputs!B42)-100525)*0.24)))),MAX(0,IF(MAX(0,I22+E22*Inputs!B43-Inputs!B42)&lt;=23200,MAX(0,I22+E22*Inputs!B43-Inputs!B42)*0.1,IF(MAX(0,I22+E22*Inputs!B43-Inputs!B42)&lt;=94300,23200*0.1+(MAX(0,I22+E22*Inputs!B43-Inputs!B42)-23200)*0.12,IF(MAX(0,I22+E22*Inputs!B43-Inputs!B42)&lt;=201050,23200*0.1+71100*0.12+(MAX(0,I22+E22*Inputs!B43-Inputs!B42)-94300)*0.22,23200*0.1+71100*0.12+106750*0.22+(MAX(0,I22+E22*Inputs!B43-Inputs!B42)-201050)*0.24)))))</f>
        <v>26894.5</v>
      </c>
      <c r="K22" s="49" t="n">
        <f aca="false">ROUND(I22*0.0637,0)</f>
        <v>7338</v>
      </c>
      <c r="L22" s="49" t="n">
        <f aca="false">E22+I22-H22-J22-K22</f>
        <v>20862.6716124125</v>
      </c>
    </row>
    <row r="23" customFormat="false" ht="15" hidden="false" customHeight="true" outlineLevel="0" collapsed="false">
      <c r="A23" s="44" t="n">
        <v>81</v>
      </c>
      <c r="B23" s="54" t="str">
        <f aca="false">IF(A23&gt;=C4,"Single","MFJ")</f>
        <v>Single</v>
      </c>
      <c r="C23" s="45" t="n">
        <f aca="false">'Withdrawal Plan'!H19</f>
        <v>67347.9842028936</v>
      </c>
      <c r="D23" s="45" t="n">
        <f aca="false">IF(A23&gt;=C4,0,'Withdrawal Plan'!I19)</f>
        <v>0</v>
      </c>
      <c r="E23" s="45" t="n">
        <f aca="false">C23+D23</f>
        <v>67347.9842028936</v>
      </c>
      <c r="F23" s="45" t="n">
        <f aca="false">'Withdrawal Plan'!B19*IF(A23&gt;=$C$4,1-$C$5,1)</f>
        <v>107836.272707439</v>
      </c>
      <c r="G23" s="45" t="n">
        <f aca="false">'Withdrawal Plan'!C19</f>
        <v>0</v>
      </c>
      <c r="H23" s="45" t="n">
        <f aca="false">F23+G23+'Withdrawal Plan'!D19+IF(A23&gt;=C4,0,'Withdrawal Plan'!E19)+'Withdrawal Plan'!F19</f>
        <v>129182.254293646</v>
      </c>
      <c r="I23" s="45" t="n">
        <f aca="false">'Roth Conversion'!E19</f>
        <v>113804.21342754</v>
      </c>
      <c r="J23" s="45" t="n">
        <f aca="false">IF(A23&gt;=$C$4,MAX(0,IF(MAX(0,I23+E23*Inputs!B43-Inputs!B42)&lt;=11600,MAX(0,I23+E23*Inputs!B43-Inputs!B42)*0.1,IF(MAX(0,I23+E23*Inputs!B43-Inputs!B42)&lt;=47150,11600*0.1+(MAX(0,I23+E23*Inputs!B43-Inputs!B42)-11600)*0.12,IF(MAX(0,I23+E23*Inputs!B43-Inputs!B42)&lt;=100525,11600*0.1+35550*0.12+(MAX(0,I23+E23*Inputs!B43-Inputs!B42)-47150)*0.22,11600*0.1+35550*0.12+53375*0.22+(MAX(0,I23+E23*Inputs!B43-Inputs!B42)-100525)*0.24)))),MAX(0,IF(MAX(0,I23+E23*Inputs!B43-Inputs!B42)&lt;=23200,MAX(0,I23+E23*Inputs!B43-Inputs!B42)*0.1,IF(MAX(0,I23+E23*Inputs!B43-Inputs!B42)&lt;=94300,23200*0.1+(MAX(0,I23+E23*Inputs!B43-Inputs!B42)-23200)*0.12,IF(MAX(0,I23+E23*Inputs!B43-Inputs!B42)&lt;=201050,23200*0.1+71100*0.12+(MAX(0,I23+E23*Inputs!B43-Inputs!B42)-94300)*0.22,23200*0.1+71100*0.12+106750*0.22+(MAX(0,I23+E23*Inputs!B43-Inputs!B42)-201050)*0.24)))))</f>
        <v>26894.5</v>
      </c>
      <c r="K23" s="45" t="n">
        <f aca="false">ROUND(I23*0.0637,0)</f>
        <v>7249</v>
      </c>
      <c r="L23" s="45" t="n">
        <f aca="false">E23+I23-H23-J23-K23</f>
        <v>17826.4433367876</v>
      </c>
    </row>
    <row r="24" customFormat="false" ht="15" hidden="false" customHeight="true" outlineLevel="0" collapsed="false">
      <c r="A24" s="44" t="n">
        <v>82</v>
      </c>
      <c r="B24" s="57" t="str">
        <f aca="false">IF(A24&gt;=C4,"Single","MFJ")</f>
        <v>Single</v>
      </c>
      <c r="C24" s="49" t="n">
        <f aca="false">'Withdrawal Plan'!H20</f>
        <v>69031.6838079659</v>
      </c>
      <c r="D24" s="49" t="n">
        <f aca="false">IF(A24&gt;=C4,0,'Withdrawal Plan'!I20)</f>
        <v>0</v>
      </c>
      <c r="E24" s="49" t="n">
        <f aca="false">C24+D24</f>
        <v>69031.6838079659</v>
      </c>
      <c r="F24" s="49" t="n">
        <f aca="false">'Withdrawal Plan'!B20*IF(A24&gt;=$C$4,1-$C$5,1)</f>
        <v>111071.360888662</v>
      </c>
      <c r="G24" s="49" t="n">
        <f aca="false">'Withdrawal Plan'!C20</f>
        <v>0</v>
      </c>
      <c r="H24" s="49" t="n">
        <f aca="false">F24+G24+'Withdrawal Plan'!D20+IF(A24&gt;=C4,0,'Withdrawal Plan'!E20)+'Withdrawal Plan'!F20</f>
        <v>132659.64155418</v>
      </c>
      <c r="I24" s="49" t="n">
        <f aca="false">'Roth Conversion'!E20</f>
        <v>112373.068763229</v>
      </c>
      <c r="J24" s="49" t="n">
        <f aca="false">IF(A24&gt;=$C$4,MAX(0,IF(MAX(0,I24+E24*Inputs!B43-Inputs!B42)&lt;=11600,MAX(0,I24+E24*Inputs!B43-Inputs!B42)*0.1,IF(MAX(0,I24+E24*Inputs!B43-Inputs!B42)&lt;=47150,11600*0.1+(MAX(0,I24+E24*Inputs!B43-Inputs!B42)-11600)*0.12,IF(MAX(0,I24+E24*Inputs!B43-Inputs!B42)&lt;=100525,11600*0.1+35550*0.12+(MAX(0,I24+E24*Inputs!B43-Inputs!B42)-47150)*0.22,11600*0.1+35550*0.12+53375*0.22+(MAX(0,I24+E24*Inputs!B43-Inputs!B42)-100525)*0.24)))),MAX(0,IF(MAX(0,I24+E24*Inputs!B43-Inputs!B42)&lt;=23200,MAX(0,I24+E24*Inputs!B43-Inputs!B42)*0.1,IF(MAX(0,I24+E24*Inputs!B43-Inputs!B42)&lt;=94300,23200*0.1+(MAX(0,I24+E24*Inputs!B43-Inputs!B42)-23200)*0.12,IF(MAX(0,I24+E24*Inputs!B43-Inputs!B42)&lt;=201050,23200*0.1+71100*0.12+(MAX(0,I24+E24*Inputs!B43-Inputs!B42)-94300)*0.22,23200*0.1+71100*0.12+106750*0.22+(MAX(0,I24+E24*Inputs!B43-Inputs!B42)-201050)*0.24)))))</f>
        <v>26894.5</v>
      </c>
      <c r="K24" s="49" t="n">
        <f aca="false">ROUND(I24*0.0637,0)</f>
        <v>7158</v>
      </c>
      <c r="L24" s="49" t="n">
        <f aca="false">E24+I24-H24-J24-K24</f>
        <v>14692.6110170149</v>
      </c>
    </row>
    <row r="25" customFormat="false" ht="15" hidden="false" customHeight="true" outlineLevel="0" collapsed="false">
      <c r="A25" s="44" t="n">
        <v>83</v>
      </c>
      <c r="B25" s="54" t="str">
        <f aca="false">IF(A25&gt;=C4,"Single","MFJ")</f>
        <v>Single</v>
      </c>
      <c r="C25" s="45" t="n">
        <f aca="false">'Withdrawal Plan'!H21</f>
        <v>70757.475903165</v>
      </c>
      <c r="D25" s="45" t="n">
        <f aca="false">IF(A25&gt;=C4,0,'Withdrawal Plan'!I21)</f>
        <v>0</v>
      </c>
      <c r="E25" s="45" t="n">
        <f aca="false">C25+D25</f>
        <v>70757.475903165</v>
      </c>
      <c r="F25" s="45" t="n">
        <f aca="false">'Withdrawal Plan'!B21*IF(A25&gt;=$C$4,1-$C$5,1)</f>
        <v>114403.501715322</v>
      </c>
      <c r="G25" s="45" t="n">
        <f aca="false">'Withdrawal Plan'!C21</f>
        <v>0</v>
      </c>
      <c r="H25" s="45" t="n">
        <f aca="false">F25+G25+'Withdrawal Plan'!D21+IF(A25&gt;=C4,0,'Withdrawal Plan'!E21)+'Withdrawal Plan'!F21</f>
        <v>136246.196414116</v>
      </c>
      <c r="I25" s="45" t="n">
        <f aca="false">'Roth Conversion'!E21</f>
        <v>110906.14548231</v>
      </c>
      <c r="J25" s="45" t="n">
        <f aca="false">IF(A25&gt;=$C$4,MAX(0,IF(MAX(0,I25+E25*Inputs!B43-Inputs!B42)&lt;=11600,MAX(0,I25+E25*Inputs!B43-Inputs!B42)*0.1,IF(MAX(0,I25+E25*Inputs!B43-Inputs!B42)&lt;=47150,11600*0.1+(MAX(0,I25+E25*Inputs!B43-Inputs!B42)-11600)*0.12,IF(MAX(0,I25+E25*Inputs!B43-Inputs!B42)&lt;=100525,11600*0.1+35550*0.12+(MAX(0,I25+E25*Inputs!B43-Inputs!B42)-47150)*0.22,11600*0.1+35550*0.12+53375*0.22+(MAX(0,I25+E25*Inputs!B43-Inputs!B42)-100525)*0.24)))),MAX(0,IF(MAX(0,I25+E25*Inputs!B43-Inputs!B42)&lt;=23200,MAX(0,I25+E25*Inputs!B43-Inputs!B42)*0.1,IF(MAX(0,I25+E25*Inputs!B43-Inputs!B42)&lt;=94300,23200*0.1+(MAX(0,I25+E25*Inputs!B43-Inputs!B42)-23200)*0.12,IF(MAX(0,I25+E25*Inputs!B43-Inputs!B42)&lt;=201050,23200*0.1+71100*0.12+(MAX(0,I25+E25*Inputs!B43-Inputs!B42)-94300)*0.22,23200*0.1+71100*0.12+106750*0.22+(MAX(0,I25+E25*Inputs!B43-Inputs!B42)-201050)*0.24)))))</f>
        <v>26894.5</v>
      </c>
      <c r="K25" s="45" t="n">
        <f aca="false">ROUND(I25*0.0637,0)</f>
        <v>7065</v>
      </c>
      <c r="L25" s="45" t="n">
        <f aca="false">E25+I25-H25-J25-K25</f>
        <v>11457.9249713589</v>
      </c>
    </row>
    <row r="26" customFormat="false" ht="15" hidden="false" customHeight="true" outlineLevel="0" collapsed="false">
      <c r="A26" s="44" t="n">
        <v>84</v>
      </c>
      <c r="B26" s="57" t="str">
        <f aca="false">IF(A26&gt;=C4,"Single","MFJ")</f>
        <v>Single</v>
      </c>
      <c r="C26" s="49" t="n">
        <f aca="false">'Withdrawal Plan'!H22</f>
        <v>72526.4128007442</v>
      </c>
      <c r="D26" s="49" t="n">
        <f aca="false">IF(A26&gt;=C4,0,'Withdrawal Plan'!I22)</f>
        <v>0</v>
      </c>
      <c r="E26" s="49" t="n">
        <f aca="false">C26+D26</f>
        <v>72526.4128007442</v>
      </c>
      <c r="F26" s="49" t="n">
        <f aca="false">'Withdrawal Plan'!B22*IF(A26&gt;=$C$4,1-$C$5,1)</f>
        <v>117835.606766781</v>
      </c>
      <c r="G26" s="49" t="n">
        <f aca="false">'Withdrawal Plan'!C22</f>
        <v>0</v>
      </c>
      <c r="H26" s="49" t="n">
        <f aca="false">F26+G26+'Withdrawal Plan'!D22+IF(A26&gt;=C4,0,'Withdrawal Plan'!E22)+'Withdrawal Plan'!F22</f>
        <v>139945.436200515</v>
      </c>
      <c r="I26" s="49" t="n">
        <f aca="false">'Roth Conversion'!E22</f>
        <v>109402.549119367</v>
      </c>
      <c r="J26" s="49" t="n">
        <f aca="false">IF(A26&gt;=$C$4,MAX(0,IF(MAX(0,I26+E26*Inputs!B43-Inputs!B42)&lt;=11600,MAX(0,I26+E26*Inputs!B43-Inputs!B42)*0.1,IF(MAX(0,I26+E26*Inputs!B43-Inputs!B42)&lt;=47150,11600*0.1+(MAX(0,I26+E26*Inputs!B43-Inputs!B42)-11600)*0.12,IF(MAX(0,I26+E26*Inputs!B43-Inputs!B42)&lt;=100525,11600*0.1+35550*0.12+(MAX(0,I26+E26*Inputs!B43-Inputs!B42)-47150)*0.22,11600*0.1+35550*0.12+53375*0.22+(MAX(0,I26+E26*Inputs!B43-Inputs!B42)-100525)*0.24)))),MAX(0,IF(MAX(0,I26+E26*Inputs!B43-Inputs!B42)&lt;=23200,MAX(0,I26+E26*Inputs!B43-Inputs!B42)*0.1,IF(MAX(0,I26+E26*Inputs!B43-Inputs!B42)&lt;=94300,23200*0.1+(MAX(0,I26+E26*Inputs!B43-Inputs!B42)-23200)*0.12,IF(MAX(0,I26+E26*Inputs!B43-Inputs!B42)&lt;=201050,23200*0.1+71100*0.12+(MAX(0,I26+E26*Inputs!B43-Inputs!B42)-94300)*0.22,23200*0.1+71100*0.12+106750*0.22+(MAX(0,I26+E26*Inputs!B43-Inputs!B42)-201050)*0.24)))))</f>
        <v>26894.5</v>
      </c>
      <c r="K26" s="49" t="n">
        <f aca="false">ROUND(I26*0.0637,0)</f>
        <v>6969</v>
      </c>
      <c r="L26" s="49" t="n">
        <f aca="false">E26+I26-H26-J26-K26</f>
        <v>8120.02571959645</v>
      </c>
    </row>
    <row r="27" customFormat="false" ht="15" hidden="false" customHeight="true" outlineLevel="0" collapsed="false">
      <c r="A27" s="44" t="n">
        <v>85</v>
      </c>
      <c r="B27" s="54" t="str">
        <f aca="false">IF(A27&gt;=C4,"Single","MFJ")</f>
        <v>Single</v>
      </c>
      <c r="C27" s="45" t="n">
        <f aca="false">'Withdrawal Plan'!H23</f>
        <v>74339.5731207628</v>
      </c>
      <c r="D27" s="45" t="n">
        <f aca="false">IF(A27&gt;=C4,0,'Withdrawal Plan'!I23)</f>
        <v>0</v>
      </c>
      <c r="E27" s="45" t="n">
        <f aca="false">C27+D27</f>
        <v>74339.5731207628</v>
      </c>
      <c r="F27" s="45" t="n">
        <f aca="false">'Withdrawal Plan'!B23*IF(A27&gt;=$C$4,1-$C$5,1)</f>
        <v>121370.674969785</v>
      </c>
      <c r="G27" s="45" t="n">
        <f aca="false">'Withdrawal Plan'!C23</f>
        <v>0</v>
      </c>
      <c r="H27" s="45" t="n">
        <f aca="false">F27+G27+'Withdrawal Plan'!D23+IF(A27&gt;=C4,0,'Withdrawal Plan'!E23)+'Withdrawal Plan'!F23</f>
        <v>143760.995875205</v>
      </c>
      <c r="I27" s="45" t="n">
        <f aca="false">'Roth Conversion'!E23</f>
        <v>107861.362847352</v>
      </c>
      <c r="J27" s="45" t="n">
        <f aca="false">IF(A27&gt;=$C$4,MAX(0,IF(MAX(0,I27+E27*Inputs!B43-Inputs!B42)&lt;=11600,MAX(0,I27+E27*Inputs!B43-Inputs!B42)*0.1,IF(MAX(0,I27+E27*Inputs!B43-Inputs!B42)&lt;=47150,11600*0.1+(MAX(0,I27+E27*Inputs!B43-Inputs!B42)-11600)*0.12,IF(MAX(0,I27+E27*Inputs!B43-Inputs!B42)&lt;=100525,11600*0.1+35550*0.12+(MAX(0,I27+E27*Inputs!B43-Inputs!B42)-47150)*0.22,11600*0.1+35550*0.12+53375*0.22+(MAX(0,I27+E27*Inputs!B43-Inputs!B42)-100525)*0.24)))),MAX(0,IF(MAX(0,I27+E27*Inputs!B43-Inputs!B42)&lt;=23200,MAX(0,I27+E27*Inputs!B43-Inputs!B42)*0.1,IF(MAX(0,I27+E27*Inputs!B43-Inputs!B42)&lt;=94300,23200*0.1+(MAX(0,I27+E27*Inputs!B43-Inputs!B42)-23200)*0.12,IF(MAX(0,I27+E27*Inputs!B43-Inputs!B42)&lt;=201050,23200*0.1+71100*0.12+(MAX(0,I27+E27*Inputs!B43-Inputs!B42)-94300)*0.22,23200*0.1+71100*0.12+106750*0.22+(MAX(0,I27+E27*Inputs!B43-Inputs!B42)-201050)*0.24)))))</f>
        <v>26894.5</v>
      </c>
      <c r="K27" s="45" t="n">
        <f aca="false">ROUND(I27*0.0637,0)</f>
        <v>6871</v>
      </c>
      <c r="L27" s="45" t="n">
        <f aca="false">E27+I27-H27-J27-K27</f>
        <v>4674.44009290912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6B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3" min="2" style="1" width="16"/>
    <col collapsed="false" customWidth="true" hidden="false" outlineLevel="0" max="5" min="4" style="1" width="14"/>
    <col collapsed="false" customWidth="true" hidden="false" outlineLevel="0" max="6" min="6" style="1" width="13"/>
    <col collapsed="false" customWidth="true" hidden="false" outlineLevel="0" max="7" min="7" style="1" width="15"/>
    <col collapsed="false" customWidth="true" hidden="false" outlineLevel="0" max="9" min="8" style="1" width="17"/>
  </cols>
  <sheetData>
    <row r="1" customFormat="false" ht="30" hidden="false" customHeight="true" outlineLevel="0" collapsed="false">
      <c r="A1" s="16" t="s">
        <v>141</v>
      </c>
      <c r="B1" s="16"/>
      <c r="C1" s="16"/>
      <c r="D1" s="16"/>
      <c r="E1" s="16"/>
      <c r="F1" s="16"/>
      <c r="G1" s="16"/>
      <c r="H1" s="16"/>
      <c r="I1" s="16"/>
    </row>
    <row r="2" customFormat="false" ht="42" hidden="false" customHeight="true" outlineLevel="0" collapsed="false">
      <c r="A2" s="17" t="s">
        <v>60</v>
      </c>
      <c r="B2" s="17" t="s">
        <v>142</v>
      </c>
      <c r="C2" s="17" t="s">
        <v>143</v>
      </c>
      <c r="D2" s="17" t="s">
        <v>144</v>
      </c>
      <c r="E2" s="17" t="s">
        <v>145</v>
      </c>
      <c r="F2" s="17" t="s">
        <v>146</v>
      </c>
      <c r="G2" s="17" t="s">
        <v>147</v>
      </c>
      <c r="H2" s="17" t="s">
        <v>148</v>
      </c>
      <c r="I2" s="17" t="s">
        <v>149</v>
      </c>
    </row>
    <row r="3" customFormat="false" ht="15" hidden="false" customHeight="true" outlineLevel="0" collapsed="false">
      <c r="A3" s="66" t="n">
        <v>56</v>
      </c>
      <c r="B3" s="67" t="n">
        <f aca="false">Inputs!B9+Inputs!B11*(1+Inputs!B12/100)</f>
        <v>3037518.75</v>
      </c>
      <c r="C3" s="67" t="n">
        <f aca="false">(Inputs!B10+Inputs!B13)*(1+Inputs!B19)</f>
        <v>810000</v>
      </c>
      <c r="D3" s="67" t="n">
        <f aca="false">Inputs!E11*(1+Inputs!B19)</f>
        <v>10800</v>
      </c>
      <c r="E3" s="67" t="n">
        <f aca="false">Inputs!E10*(1+Inputs!B19)</f>
        <v>54000</v>
      </c>
      <c r="F3" s="67" t="n">
        <f aca="false">(Inputs!B14+Inputs!B15)*(1+Inputs!B19)</f>
        <v>116640</v>
      </c>
      <c r="G3" s="67" t="n">
        <f aca="false">Inputs!B16*(1+Inputs!B19)</f>
        <v>540000</v>
      </c>
      <c r="H3" s="68" t="n">
        <f aca="false">SUM(B3:G3)</f>
        <v>4568958.75</v>
      </c>
      <c r="I3" s="69" t="n">
        <f aca="false">H3+Inputs!B36*POWER(1+Inputs!B52,VALUE(A3)-Inputs!B4)</f>
        <v>5368958.75</v>
      </c>
    </row>
    <row r="4" customFormat="false" ht="15" hidden="false" customHeight="true" outlineLevel="0" collapsed="false">
      <c r="A4" s="66" t="n">
        <v>57</v>
      </c>
      <c r="B4" s="67" t="n">
        <f aca="false">B3*(1+Inputs!B19)+Inputs!B11*(1+Inputs!B12/100)</f>
        <v>3318039</v>
      </c>
      <c r="C4" s="67" t="n">
        <f aca="false">C3*(1+Inputs!B19)</f>
        <v>874800</v>
      </c>
      <c r="D4" s="67" t="n">
        <f aca="false">D3*(1+Inputs!B19)</f>
        <v>11664</v>
      </c>
      <c r="E4" s="67" t="n">
        <f aca="false">E3*(1+Inputs!B19)</f>
        <v>58320</v>
      </c>
      <c r="F4" s="67" t="n">
        <f aca="false">(F3+Inputs!B15)*(1+Inputs!B19)</f>
        <v>134611.2</v>
      </c>
      <c r="G4" s="67" t="n">
        <f aca="false">G3*(1+Inputs!B19)</f>
        <v>583200</v>
      </c>
      <c r="H4" s="68" t="n">
        <f aca="false">SUM(B4:G4)</f>
        <v>4980634.2</v>
      </c>
      <c r="I4" s="69" t="n">
        <f aca="false">H4+Inputs!B36*POWER(1+Inputs!B52,VALUE(A4)-Inputs!B4)</f>
        <v>5816634.2</v>
      </c>
    </row>
    <row r="5" customFormat="false" ht="15" hidden="false" customHeight="true" outlineLevel="0" collapsed="false">
      <c r="A5" s="66" t="n">
        <v>58</v>
      </c>
      <c r="B5" s="67" t="n">
        <f aca="false">B4*(1+Inputs!B19)+Inputs!B11*(1+Inputs!B12/100)</f>
        <v>3621000.87</v>
      </c>
      <c r="C5" s="67" t="n">
        <f aca="false">C4*(1+Inputs!B19)</f>
        <v>944784</v>
      </c>
      <c r="D5" s="67" t="n">
        <f aca="false">D4*(1+Inputs!B19)</f>
        <v>12597.12</v>
      </c>
      <c r="E5" s="67" t="n">
        <f aca="false">E4*(1+Inputs!B19)</f>
        <v>62985.6</v>
      </c>
      <c r="F5" s="67" t="n">
        <f aca="false">(F4+Inputs!B15)*(1+Inputs!B19)</f>
        <v>154020.096</v>
      </c>
      <c r="G5" s="67" t="n">
        <f aca="false">G4*(1+Inputs!B19)</f>
        <v>629856</v>
      </c>
      <c r="H5" s="68" t="n">
        <f aca="false">SUM(B5:G5)</f>
        <v>5425243.686</v>
      </c>
      <c r="I5" s="69" t="n">
        <f aca="false">H5+Inputs!B36*POWER(1+Inputs!B52,VALUE(A5)-Inputs!B4)</f>
        <v>6298863.686</v>
      </c>
    </row>
    <row r="6" customFormat="false" ht="15" hidden="false" customHeight="true" outlineLevel="0" collapsed="false">
      <c r="A6" s="66" t="n">
        <v>59</v>
      </c>
      <c r="B6" s="67" t="n">
        <f aca="false">B5*(1+Inputs!B19)+Inputs!B11*(1+Inputs!B12/100)</f>
        <v>3948199.6896</v>
      </c>
      <c r="C6" s="67" t="n">
        <f aca="false">C5*(1+Inputs!B19)</f>
        <v>1020366.72</v>
      </c>
      <c r="D6" s="67" t="n">
        <f aca="false">D5*(1+Inputs!B19)</f>
        <v>13604.8896</v>
      </c>
      <c r="E6" s="67" t="n">
        <f aca="false">E5*(1+Inputs!B19)</f>
        <v>68024.448</v>
      </c>
      <c r="F6" s="67" t="n">
        <f aca="false">(F5+Inputs!B15)*(1+Inputs!B19)</f>
        <v>174981.70368</v>
      </c>
      <c r="G6" s="67" t="n">
        <f aca="false">G5*(1+Inputs!B19)</f>
        <v>680244.48</v>
      </c>
      <c r="H6" s="68" t="n">
        <f aca="false">SUM(B6:G6)</f>
        <v>5905421.93088</v>
      </c>
      <c r="I6" s="69" t="n">
        <f aca="false">H6+Inputs!B36*POWER(1+Inputs!B52,VALUE(A6)-Inputs!B4)</f>
        <v>6818354.83088</v>
      </c>
    </row>
    <row r="7" customFormat="false" ht="15" hidden="false" customHeight="true" outlineLevel="0" collapsed="false">
      <c r="A7" s="66" t="n">
        <v>60</v>
      </c>
      <c r="B7" s="67" t="n">
        <f aca="false">B6*(1+Inputs!B19)+Inputs!B11*(1+Inputs!B12/100)</f>
        <v>4301574.414768</v>
      </c>
      <c r="C7" s="67" t="n">
        <f aca="false">C6*(1+Inputs!B19)</f>
        <v>1101996.0576</v>
      </c>
      <c r="D7" s="67" t="n">
        <f aca="false">D6*(1+Inputs!B19)</f>
        <v>14693.280768</v>
      </c>
      <c r="E7" s="67" t="n">
        <f aca="false">E6*(1+Inputs!B19)</f>
        <v>73466.40384</v>
      </c>
      <c r="F7" s="67" t="n">
        <f aca="false">(F6+Inputs!B15)*(1+Inputs!B19)</f>
        <v>197620.2399744</v>
      </c>
      <c r="G7" s="67" t="n">
        <f aca="false">G6*(1+Inputs!B19)</f>
        <v>734664.0384</v>
      </c>
      <c r="H7" s="68" t="n">
        <f aca="false">SUM(B7:G7)</f>
        <v>6424014.4353504</v>
      </c>
      <c r="I7" s="69" t="n">
        <f aca="false">H7+Inputs!B36*POWER(1+Inputs!B52,VALUE(A7)-Inputs!B4)</f>
        <v>7378029.3158504</v>
      </c>
    </row>
    <row r="8" customFormat="false" ht="15" hidden="false" customHeight="true" outlineLevel="0" collapsed="false">
      <c r="A8" s="66" t="n">
        <v>61</v>
      </c>
      <c r="B8" s="67" t="n">
        <f aca="false">B7*(1+Inputs!B19)+Inputs!B11*(1+Inputs!B12/100)</f>
        <v>4683219.11794944</v>
      </c>
      <c r="C8" s="67" t="n">
        <f aca="false">C7*(1+Inputs!B19)</f>
        <v>1190155.742208</v>
      </c>
      <c r="D8" s="67" t="n">
        <f aca="false">D7*(1+Inputs!B19)</f>
        <v>15868.74322944</v>
      </c>
      <c r="E8" s="67" t="n">
        <f aca="false">E7*(1+Inputs!B19)</f>
        <v>79343.7161472</v>
      </c>
      <c r="F8" s="67" t="n">
        <f aca="false">(F7+Inputs!B15)*(1+Inputs!B19)</f>
        <v>222069.859172352</v>
      </c>
      <c r="G8" s="67" t="n">
        <f aca="false">G7*(1+Inputs!B19)</f>
        <v>793437.161472</v>
      </c>
      <c r="H8" s="68" t="n">
        <f aca="false">SUM(B8:G8)</f>
        <v>6984094.34017843</v>
      </c>
      <c r="I8" s="69" t="n">
        <f aca="false">H8+Inputs!B36*POWER(1+Inputs!B52,VALUE(A8)-Inputs!B4)</f>
        <v>7981039.89030093</v>
      </c>
    </row>
    <row r="9" customFormat="false" ht="15" hidden="false" customHeight="true" outlineLevel="0" collapsed="false">
      <c r="A9" s="66" t="n">
        <v>62</v>
      </c>
      <c r="B9" s="67" t="n">
        <f aca="false">B8*(1+Inputs!B19)+Inputs!B11*(1+Inputs!B12/100)</f>
        <v>5095395.3973854</v>
      </c>
      <c r="C9" s="67" t="n">
        <f aca="false">C8*(1+Inputs!B19)</f>
        <v>1285368.20158464</v>
      </c>
      <c r="D9" s="67" t="n">
        <f aca="false">D8*(1+Inputs!B19)</f>
        <v>17138.2426877952</v>
      </c>
      <c r="E9" s="67" t="n">
        <f aca="false">E8*(1+Inputs!B19)</f>
        <v>85691.213438976</v>
      </c>
      <c r="F9" s="67" t="n">
        <f aca="false">(F8+Inputs!B15)*(1+Inputs!B19)</f>
        <v>248475.44790614</v>
      </c>
      <c r="G9" s="67" t="n">
        <f aca="false">G8*(1+Inputs!B19)</f>
        <v>856912.13438976</v>
      </c>
      <c r="H9" s="68" t="n">
        <f aca="false">SUM(B9:G9)</f>
        <v>7588980.63739271</v>
      </c>
      <c r="I9" s="69" t="n">
        <f aca="false">H9+Inputs!B36*POWER(1+Inputs!B52,VALUE(A9)-Inputs!B4)</f>
        <v>8630788.73727072</v>
      </c>
    </row>
    <row r="10" customFormat="false" ht="15" hidden="false" customHeight="true" outlineLevel="0" collapsed="false">
      <c r="A10" s="66" t="n">
        <v>63</v>
      </c>
      <c r="B10" s="67" t="n">
        <f aca="false">B9*(1+Inputs!B19)+Inputs!B11*(1+Inputs!B12/100)</f>
        <v>5540545.77917623</v>
      </c>
      <c r="C10" s="67" t="n">
        <f aca="false">C9*(1+Inputs!B19)</f>
        <v>1388197.65771141</v>
      </c>
      <c r="D10" s="67" t="n">
        <f aca="false">D9*(1+Inputs!B19)</f>
        <v>18509.3021028188</v>
      </c>
      <c r="E10" s="67" t="n">
        <f aca="false">E9*(1+Inputs!B19)</f>
        <v>92546.5105140941</v>
      </c>
      <c r="F10" s="67" t="n">
        <f aca="false">(F9+Inputs!B15)*(1+Inputs!B19)</f>
        <v>276993.483738632</v>
      </c>
      <c r="G10" s="67" t="n">
        <f aca="false">G9*(1+Inputs!B19)</f>
        <v>925465.105140941</v>
      </c>
      <c r="H10" s="68" t="n">
        <f aca="false">SUM(B10:G10)</f>
        <v>8242257.83838413</v>
      </c>
      <c r="I10" s="69" t="n">
        <f aca="false">H10+Inputs!B36*POWER(1+Inputs!B52,VALUE(A10)-Inputs!B4)</f>
        <v>9330947.30275665</v>
      </c>
    </row>
    <row r="11" customFormat="false" ht="15" hidden="false" customHeight="true" outlineLevel="0" collapsed="false">
      <c r="A11" s="66" t="n">
        <v>64</v>
      </c>
      <c r="B11" s="67" t="n">
        <f aca="false">B10*(1+Inputs!B19)+Inputs!B11*(1+Inputs!B12/100)</f>
        <v>6021308.19151033</v>
      </c>
      <c r="C11" s="67" t="n">
        <f aca="false">C10*(1+Inputs!B19)</f>
        <v>1499253.47032833</v>
      </c>
      <c r="D11" s="67" t="n">
        <f aca="false">D10*(1+Inputs!B19)</f>
        <v>19990.0462710443</v>
      </c>
      <c r="E11" s="67" t="n">
        <f aca="false">E10*(1+Inputs!B19)</f>
        <v>99950.2313552217</v>
      </c>
      <c r="F11" s="67" t="n">
        <f aca="false">(F10+Inputs!B15)*(1+Inputs!B19)</f>
        <v>307792.962437722</v>
      </c>
      <c r="G11" s="67" t="n">
        <f aca="false">G10*(1+Inputs!B19)</f>
        <v>999502.313552217</v>
      </c>
      <c r="H11" s="68" t="n">
        <f aca="false">SUM(B11:G11)</f>
        <v>8947797.21545486</v>
      </c>
      <c r="I11" s="69" t="n">
        <f aca="false">H11+Inputs!B36*POWER(1+Inputs!B52,VALUE(A11)-Inputs!B4)</f>
        <v>10085477.7057241</v>
      </c>
    </row>
    <row r="12" customFormat="false" ht="15" hidden="false" customHeight="true" outlineLevel="0" collapsed="false">
      <c r="A12" s="18" t="n">
        <v>65</v>
      </c>
      <c r="B12" s="22" t="n">
        <f aca="false">'Roth Conversion'!J3</f>
        <v>2828950</v>
      </c>
      <c r="C12" s="22" t="n">
        <f aca="false">MAX(0,C11*(1+Inputs!B19)-'Withdrawal Plan'!K3)</f>
        <v>1619193.74795459</v>
      </c>
      <c r="D12" s="22" t="n">
        <f aca="false">D11*(1+Inputs!B19)</f>
        <v>21589.2499727279</v>
      </c>
      <c r="E12" s="22" t="n">
        <f aca="false">E11*(1+Inputs!B19)</f>
        <v>107946.249863639</v>
      </c>
      <c r="F12" s="22" t="n">
        <f aca="false">MAX(0,F11*(1+Inputs!B19)-'Withdrawal Plan'!M3)</f>
        <v>330196.39943274</v>
      </c>
      <c r="G12" s="22" t="n">
        <f aca="false">MAX(0,G11*(1+Inputs!B19)-Inputs!B50*Inputs!B51-'Withdrawal Plan'!L3)</f>
        <v>1079462.49863639</v>
      </c>
      <c r="H12" s="36" t="n">
        <f aca="false">SUM(B12:G12)</f>
        <v>5987338.14586009</v>
      </c>
      <c r="I12" s="37" t="n">
        <f aca="false">H12+Inputs!B36*POWER(1+Inputs!B52,VALUE(A12)-Inputs!B4)</f>
        <v>7176214.2581915</v>
      </c>
    </row>
    <row r="13" customFormat="false" ht="15" hidden="false" customHeight="true" outlineLevel="0" collapsed="false">
      <c r="A13" s="18" t="n">
        <v>66</v>
      </c>
      <c r="B13" s="19" t="n">
        <f aca="false">'Roth Conversion'!J4</f>
        <v>2657900</v>
      </c>
      <c r="C13" s="19" t="n">
        <f aca="false">MAX(0,C12*(1+Inputs!B19)-'Withdrawal Plan'!K4)</f>
        <v>1748729.24779096</v>
      </c>
      <c r="D13" s="19" t="n">
        <f aca="false">D12*(1+Inputs!B19)</f>
        <v>23316.3899705461</v>
      </c>
      <c r="E13" s="19" t="n">
        <f aca="false">E12*(1+Inputs!B19)</f>
        <v>116581.949852731</v>
      </c>
      <c r="F13" s="19" t="n">
        <f aca="false">MAX(0,F12*(1+Inputs!B19)-'Withdrawal Plan'!M4)</f>
        <v>354281.111387359</v>
      </c>
      <c r="G13" s="19" t="n">
        <f aca="false">MAX(0,G12*(1+Inputs!B19)-'Withdrawal Plan'!L4)</f>
        <v>1165819.49852731</v>
      </c>
      <c r="H13" s="34" t="n">
        <f aca="false">SUM(B13:G13)</f>
        <v>6066628.1975289</v>
      </c>
      <c r="I13" s="35" t="n">
        <f aca="false">H13+Inputs!B36*POWER(1+Inputs!B52,VALUE(A13)-Inputs!B4)</f>
        <v>7309003.73491522</v>
      </c>
    </row>
    <row r="14" customFormat="false" ht="15" hidden="false" customHeight="true" outlineLevel="0" collapsed="false">
      <c r="A14" s="18" t="n">
        <v>67</v>
      </c>
      <c r="B14" s="22" t="n">
        <f aca="false">'Roth Conversion'!J5</f>
        <v>2527364.4</v>
      </c>
      <c r="C14" s="22" t="n">
        <f aca="false">MAX(0,C13*(1+Inputs!B19)-'Withdrawal Plan'!K5)</f>
        <v>1888627.58761424</v>
      </c>
      <c r="D14" s="22" t="n">
        <f aca="false">D13*(1+Inputs!B19)</f>
        <v>25181.7011681898</v>
      </c>
      <c r="E14" s="22" t="n">
        <f aca="false">E13*(1+Inputs!B19)</f>
        <v>125908.505840949</v>
      </c>
      <c r="F14" s="22" t="n">
        <f aca="false">MAX(0,F13*(1+Inputs!B19)-'Withdrawal Plan'!M5)</f>
        <v>380176.050298348</v>
      </c>
      <c r="G14" s="22" t="n">
        <f aca="false">MAX(0,G13*(1+Inputs!B19)-'Withdrawal Plan'!L5)</f>
        <v>1259085.05840949</v>
      </c>
      <c r="H14" s="36" t="n">
        <f aca="false">SUM(B14:G14)</f>
        <v>6206343.30333121</v>
      </c>
      <c r="I14" s="37" t="n">
        <f aca="false">H14+Inputs!B36*POWER(1+Inputs!B52,VALUE(A14)-Inputs!B4)</f>
        <v>7504625.73989991</v>
      </c>
    </row>
    <row r="15" customFormat="false" ht="15" hidden="false" customHeight="true" outlineLevel="0" collapsed="false">
      <c r="A15" s="18" t="n">
        <v>68</v>
      </c>
      <c r="B15" s="19" t="n">
        <f aca="false">'Roth Conversion'!J6</f>
        <v>2397841.66</v>
      </c>
      <c r="C15" s="19" t="n">
        <f aca="false">MAX(0,C14*(1+Inputs!B19)-'Withdrawal Plan'!K6)</f>
        <v>2039717.79462337</v>
      </c>
      <c r="D15" s="19" t="n">
        <f aca="false">D14*(1+Inputs!B19)</f>
        <v>27196.237261645</v>
      </c>
      <c r="E15" s="19" t="n">
        <f aca="false">E14*(1+Inputs!B19)</f>
        <v>135981.186308225</v>
      </c>
      <c r="F15" s="19" t="n">
        <f aca="false">MAX(0,F14*(1+Inputs!B19)-'Withdrawal Plan'!M6)</f>
        <v>408020.206822216</v>
      </c>
      <c r="G15" s="19" t="n">
        <f aca="false">MAX(0,G14*(1+Inputs!B19)-'Withdrawal Plan'!L6)</f>
        <v>1359811.86308225</v>
      </c>
      <c r="H15" s="34" t="n">
        <f aca="false">SUM(B15:G15)</f>
        <v>6368568.94809771</v>
      </c>
      <c r="I15" s="35" t="n">
        <f aca="false">H15+Inputs!B36*POWER(1+Inputs!B52,VALUE(A15)-Inputs!B4)</f>
        <v>7725274.094312</v>
      </c>
    </row>
    <row r="16" customFormat="false" ht="15" hidden="false" customHeight="true" outlineLevel="0" collapsed="false">
      <c r="A16" s="18" t="n">
        <v>69</v>
      </c>
      <c r="B16" s="22" t="n">
        <f aca="false">'Roth Conversion'!J7</f>
        <v>2269357.1015</v>
      </c>
      <c r="C16" s="22" t="n">
        <f aca="false">MAX(0,C15*(1+Inputs!B19)-'Withdrawal Plan'!K7)</f>
        <v>2202895.21819324</v>
      </c>
      <c r="D16" s="22" t="n">
        <f aca="false">D15*(1+Inputs!B19)</f>
        <v>29371.9362425766</v>
      </c>
      <c r="E16" s="22" t="n">
        <f aca="false">E15*(1+Inputs!B19)</f>
        <v>146859.681212883</v>
      </c>
      <c r="F16" s="22" t="n">
        <f aca="false">MAX(0,F15*(1+Inputs!B19)-'Withdrawal Plan'!M7)</f>
        <v>437963.399492993</v>
      </c>
      <c r="G16" s="22" t="n">
        <f aca="false">MAX(0,G15*(1+Inputs!B19)-'Withdrawal Plan'!L7)</f>
        <v>1468596.81212883</v>
      </c>
      <c r="H16" s="36" t="n">
        <f aca="false">SUM(B16:G16)</f>
        <v>6555044.14877053</v>
      </c>
      <c r="I16" s="37" t="n">
        <f aca="false">H16+Inputs!B36*POWER(1+Inputs!B52,VALUE(A16)-Inputs!B4)</f>
        <v>7972801.02656446</v>
      </c>
    </row>
    <row r="17" customFormat="false" ht="15" hidden="false" customHeight="true" outlineLevel="0" collapsed="false">
      <c r="A17" s="18" t="n">
        <v>70</v>
      </c>
      <c r="B17" s="19" t="n">
        <f aca="false">'Roth Conversion'!J8</f>
        <v>2141936.6790375</v>
      </c>
      <c r="C17" s="19" t="n">
        <f aca="false">MAX(0,C16*(1+Inputs!B19)-'Withdrawal Plan'!K8)</f>
        <v>2379126.8356487</v>
      </c>
      <c r="D17" s="19" t="n">
        <f aca="false">D16*(1+Inputs!B19)</f>
        <v>31721.6911419827</v>
      </c>
      <c r="E17" s="19" t="n">
        <f aca="false">E16*(1+Inputs!B19)</f>
        <v>158608.455709914</v>
      </c>
      <c r="F17" s="19" t="n">
        <f aca="false">MAX(0,F16*(1+Inputs!B19)-'Withdrawal Plan'!M8)</f>
        <v>470167.126383683</v>
      </c>
      <c r="G17" s="19" t="n">
        <f aca="false">MAX(0,G16*(1+Inputs!B19)-'Withdrawal Plan'!L8)</f>
        <v>1586084.55709914</v>
      </c>
      <c r="H17" s="34" t="n">
        <f aca="false">SUM(B17:G17)</f>
        <v>6767645.34502092</v>
      </c>
      <c r="I17" s="35" t="n">
        <f aca="false">H17+Inputs!B36*POWER(1+Inputs!B52,VALUE(A17)-Inputs!B4)</f>
        <v>8249201.28231558</v>
      </c>
    </row>
    <row r="18" customFormat="false" ht="15" hidden="false" customHeight="true" outlineLevel="0" collapsed="false">
      <c r="A18" s="18" t="n">
        <v>71</v>
      </c>
      <c r="B18" s="22" t="n">
        <f aca="false">'Roth Conversion'!J9</f>
        <v>2015606.99601344</v>
      </c>
      <c r="C18" s="22" t="n">
        <f aca="false">MAX(0,C17*(1+Inputs!B19)-'Withdrawal Plan'!K9)</f>
        <v>2569456.9825006</v>
      </c>
      <c r="D18" s="22" t="n">
        <f aca="false">D17*(1+Inputs!B19)</f>
        <v>34259.4264333413</v>
      </c>
      <c r="E18" s="22" t="n">
        <f aca="false">E17*(1+Inputs!B19)</f>
        <v>171297.132166707</v>
      </c>
      <c r="F18" s="22" t="n">
        <f aca="false">MAX(0,F17*(1+Inputs!B19)-'Withdrawal Plan'!M9)</f>
        <v>504805.48417219</v>
      </c>
      <c r="G18" s="22" t="n">
        <f aca="false">MAX(0,G17*(1+Inputs!B19)-'Withdrawal Plan'!L9)</f>
        <v>1712971.32166707</v>
      </c>
      <c r="H18" s="36" t="n">
        <f aca="false">SUM(B18:G18)</f>
        <v>7008397.34295334</v>
      </c>
      <c r="I18" s="37" t="n">
        <f aca="false">H18+Inputs!B36*POWER(1+Inputs!B52,VALUE(A18)-Inputs!B4)</f>
        <v>8556623.29742627</v>
      </c>
    </row>
    <row r="19" customFormat="false" ht="15" hidden="false" customHeight="true" outlineLevel="0" collapsed="false">
      <c r="A19" s="18" t="n">
        <v>72</v>
      </c>
      <c r="B19" s="19" t="n">
        <f aca="false">'Roth Conversion'!J10</f>
        <v>1890395.32091377</v>
      </c>
      <c r="C19" s="19" t="n">
        <f aca="false">MAX(0,C18*(1+Inputs!B19)-'Withdrawal Plan'!K10)</f>
        <v>2775013.54110065</v>
      </c>
      <c r="D19" s="19" t="n">
        <f aca="false">D18*(1+Inputs!B19)</f>
        <v>37000.1805480087</v>
      </c>
      <c r="E19" s="19" t="n">
        <f aca="false">E18*(1+Inputs!B19)</f>
        <v>185000.902740043</v>
      </c>
      <c r="F19" s="19" t="n">
        <f aca="false">MAX(0,F18*(1+Inputs!B19)-'Withdrawal Plan'!M10)</f>
        <v>542066.159967668</v>
      </c>
      <c r="G19" s="19" t="n">
        <f aca="false">MAX(0,G18*(1+Inputs!B19)-'Withdrawal Plan'!L10)</f>
        <v>1850009.02740043</v>
      </c>
      <c r="H19" s="34" t="n">
        <f aca="false">SUM(B19:G19)</f>
        <v>7279485.13267057</v>
      </c>
      <c r="I19" s="35" t="n">
        <f aca="false">H19+Inputs!B36*POWER(1+Inputs!B52,VALUE(A19)-Inputs!B4)</f>
        <v>8897381.25509478</v>
      </c>
    </row>
    <row r="20" customFormat="false" ht="15" hidden="false" customHeight="true" outlineLevel="0" collapsed="false">
      <c r="A20" s="18" t="n">
        <v>73</v>
      </c>
      <c r="B20" s="25" t="n">
        <f aca="false">'Roth Conversion'!J11</f>
        <v>1766329.60393662</v>
      </c>
      <c r="C20" s="25" t="n">
        <f aca="false">MAX(0,C19*(1+Inputs!B19)-'Withdrawal Plan'!K11)</f>
        <v>2997014.6243887</v>
      </c>
      <c r="D20" s="25" t="n">
        <f aca="false">D19*(1+Inputs!B19)</f>
        <v>39960.1949918494</v>
      </c>
      <c r="E20" s="25" t="n">
        <f aca="false">E19*(1+Inputs!B19)</f>
        <v>199800.974959247</v>
      </c>
      <c r="F20" s="25" t="n">
        <f aca="false">MAX(0,F19*(1+Inputs!B19)-'Withdrawal Plan'!M11)</f>
        <v>582151.50167987</v>
      </c>
      <c r="G20" s="25" t="n">
        <f aca="false">MAX(0,G19*(1+Inputs!B19)-'Withdrawal Plan'!L11)</f>
        <v>1998009.74959247</v>
      </c>
      <c r="H20" s="38" t="n">
        <f aca="false">SUM(B20:G20)</f>
        <v>7583266.64954875</v>
      </c>
      <c r="I20" s="39" t="n">
        <f aca="false">H20+Inputs!B36*POWER(1+Inputs!B52,VALUE(A20)-Inputs!B4)</f>
        <v>9273968.09748204</v>
      </c>
    </row>
    <row r="21" customFormat="false" ht="15" hidden="false" customHeight="true" outlineLevel="0" collapsed="false">
      <c r="A21" s="18" t="n">
        <v>74</v>
      </c>
      <c r="B21" s="25" t="n">
        <f aca="false">'Roth Conversion'!J12</f>
        <v>1643438.49403503</v>
      </c>
      <c r="C21" s="25" t="n">
        <f aca="false">MAX(0,C20*(1+Inputs!B19)-'Withdrawal Plan'!K12)</f>
        <v>3236775.7943398</v>
      </c>
      <c r="D21" s="25" t="n">
        <f aca="false">D20*(1+Inputs!B19)</f>
        <v>43157.0105911973</v>
      </c>
      <c r="E21" s="25" t="n">
        <f aca="false">E20*(1+Inputs!B19)</f>
        <v>215785.052955986</v>
      </c>
      <c r="F21" s="25" t="n">
        <f aca="false">MAX(0,F20*(1+Inputs!B19)-'Withdrawal Plan'!M12)</f>
        <v>625279.673174787</v>
      </c>
      <c r="G21" s="25" t="n">
        <f aca="false">MAX(0,G20*(1+Inputs!B19)-'Withdrawal Plan'!L12)</f>
        <v>2157850.52955986</v>
      </c>
      <c r="H21" s="38" t="n">
        <f aca="false">SUM(B21:G21)</f>
        <v>7922286.55465667</v>
      </c>
      <c r="I21" s="39" t="n">
        <f aca="false">H21+Inputs!B36*POWER(1+Inputs!B52,VALUE(A21)-Inputs!B4)</f>
        <v>9689069.56774696</v>
      </c>
    </row>
    <row r="22" customFormat="false" ht="15" hidden="false" customHeight="true" outlineLevel="0" collapsed="false">
      <c r="A22" s="18" t="n">
        <v>75</v>
      </c>
      <c r="B22" s="25" t="n">
        <f aca="false">'Roth Conversion'!J13</f>
        <v>1521751.35638591</v>
      </c>
      <c r="C22" s="25" t="n">
        <f aca="false">MAX(0,C21*(1+Inputs!B19)-'Withdrawal Plan'!K13)</f>
        <v>3495717.85788698</v>
      </c>
      <c r="D22" s="25" t="n">
        <f aca="false">D21*(1+Inputs!B19)</f>
        <v>46609.5714384931</v>
      </c>
      <c r="E22" s="25" t="n">
        <f aca="false">E21*(1+Inputs!B19)</f>
        <v>233047.857192465</v>
      </c>
      <c r="F22" s="25" t="n">
        <f aca="false">MAX(0,F21*(1+Inputs!B19)-'Withdrawal Plan'!M13)</f>
        <v>671685.900957324</v>
      </c>
      <c r="G22" s="25" t="n">
        <f aca="false">MAX(0,G21*(1+Inputs!B19)-'Withdrawal Plan'!L13)</f>
        <v>2330478.57192465</v>
      </c>
      <c r="H22" s="38" t="n">
        <f aca="false">SUM(B22:G22)</f>
        <v>8299291.11578583</v>
      </c>
      <c r="I22" s="39" t="n">
        <f aca="false">H22+Inputs!B36*POWER(1+Inputs!B52,VALUE(A22)-Inputs!B4)</f>
        <v>10145579.3644652</v>
      </c>
    </row>
    <row r="23" customFormat="false" ht="15" hidden="false" customHeight="true" outlineLevel="0" collapsed="false">
      <c r="A23" s="18" t="n">
        <v>76</v>
      </c>
      <c r="B23" s="25" t="n">
        <f aca="false">'Roth Conversion'!J14</f>
        <v>1401298.29029556</v>
      </c>
      <c r="C23" s="25" t="n">
        <f aca="false">MAX(0,C22*(1+Inputs!B19)-'Withdrawal Plan'!K14)</f>
        <v>3775375.28651794</v>
      </c>
      <c r="D23" s="25" t="n">
        <f aca="false">D22*(1+Inputs!B19)</f>
        <v>50338.3371535725</v>
      </c>
      <c r="E23" s="25" t="n">
        <f aca="false">E22*(1+Inputs!B19)</f>
        <v>251691.685767863</v>
      </c>
      <c r="F23" s="25" t="n">
        <f aca="false">MAX(0,F22*(1+Inputs!B19)-'Withdrawal Plan'!M14)</f>
        <v>721623.819658892</v>
      </c>
      <c r="G23" s="25" t="n">
        <f aca="false">MAX(0,G22*(1+Inputs!B19)-'Withdrawal Plan'!L14)</f>
        <v>2516916.85767863</v>
      </c>
      <c r="H23" s="38" t="n">
        <f aca="false">SUM(B23:G23)</f>
        <v>8717244.27707245</v>
      </c>
      <c r="I23" s="39" t="n">
        <f aca="false">H23+Inputs!B36*POWER(1+Inputs!B52,VALUE(A23)-Inputs!B4)</f>
        <v>10646615.4969424</v>
      </c>
    </row>
    <row r="24" customFormat="false" ht="15" hidden="false" customHeight="true" outlineLevel="0" collapsed="false">
      <c r="A24" s="18" t="n">
        <v>77</v>
      </c>
      <c r="B24" s="25" t="n">
        <f aca="false">'Roth Conversion'!J15</f>
        <v>1282110.14755295</v>
      </c>
      <c r="C24" s="25" t="n">
        <f aca="false">MAX(0,C23*(1+Inputs!B19)-'Withdrawal Plan'!K15)</f>
        <v>4077405.30943937</v>
      </c>
      <c r="D24" s="25" t="n">
        <f aca="false">D23*(1+Inputs!B19)</f>
        <v>54365.4041258583</v>
      </c>
      <c r="E24" s="25" t="n">
        <f aca="false">E23*(1+Inputs!B19)</f>
        <v>271827.020629292</v>
      </c>
      <c r="F24" s="25" t="n">
        <f aca="false">MAX(0,F23*(1+Inputs!B19)-'Withdrawal Plan'!M15)</f>
        <v>775366.924187834</v>
      </c>
      <c r="G24" s="25" t="n">
        <f aca="false">MAX(0,G23*(1+Inputs!B19)-'Withdrawal Plan'!L15)</f>
        <v>2718270.20629292</v>
      </c>
      <c r="H24" s="38" t="n">
        <f aca="false">SUM(B24:G24)</f>
        <v>9179345.01222822</v>
      </c>
      <c r="I24" s="39" t="n">
        <f aca="false">H24+Inputs!B36*POWER(1+Inputs!B52,VALUE(A24)-Inputs!B4)</f>
        <v>11195537.9369923</v>
      </c>
    </row>
    <row r="25" customFormat="false" ht="15" hidden="false" customHeight="true" outlineLevel="0" collapsed="false">
      <c r="A25" s="18" t="n">
        <v>78</v>
      </c>
      <c r="B25" s="25" t="n">
        <f aca="false">'Roth Conversion'!J16</f>
        <v>1164218.55124177</v>
      </c>
      <c r="C25" s="25" t="n">
        <f aca="false">MAX(0,C24*(1+Inputs!B19)-'Withdrawal Plan'!K16)</f>
        <v>4403597.73419453</v>
      </c>
      <c r="D25" s="25" t="n">
        <f aca="false">D24*(1+Inputs!B19)</f>
        <v>58714.636455927</v>
      </c>
      <c r="E25" s="25" t="n">
        <f aca="false">E24*(1+Inputs!B19)</f>
        <v>293573.182279635</v>
      </c>
      <c r="F25" s="25" t="n">
        <f aca="false">MAX(0,F24*(1+Inputs!B19)-'Withdrawal Plan'!M16)</f>
        <v>833210.137026903</v>
      </c>
      <c r="G25" s="25" t="n">
        <f aca="false">MAX(0,G24*(1+Inputs!B19)-'Withdrawal Plan'!L16)</f>
        <v>2935731.82279635</v>
      </c>
      <c r="H25" s="38" t="n">
        <f aca="false">SUM(B25:G25)</f>
        <v>9689046.06399511</v>
      </c>
      <c r="I25" s="39" t="n">
        <f aca="false">H25+Inputs!B36*POWER(1+Inputs!B52,VALUE(A25)-Inputs!B4)</f>
        <v>11795967.6703736</v>
      </c>
    </row>
    <row r="26" customFormat="false" ht="15" hidden="false" customHeight="true" outlineLevel="0" collapsed="false">
      <c r="A26" s="18" t="n">
        <v>79</v>
      </c>
      <c r="B26" s="25" t="n">
        <f aca="false">'Roth Conversion'!J17</f>
        <v>1047655.91502281</v>
      </c>
      <c r="C26" s="25" t="n">
        <f aca="false">MAX(0,C25*(1+Inputs!B19)-'Withdrawal Plan'!K17)</f>
        <v>4755885.55293009</v>
      </c>
      <c r="D26" s="25" t="n">
        <f aca="false">D25*(1+Inputs!B19)</f>
        <v>63411.8073724012</v>
      </c>
      <c r="E26" s="25" t="n">
        <f aca="false">E25*(1+Inputs!B19)</f>
        <v>317059.036862006</v>
      </c>
      <c r="F26" s="25" t="n">
        <f aca="false">MAX(0,F25*(1+Inputs!B19)-'Withdrawal Plan'!M17)</f>
        <v>895471.4998383</v>
      </c>
      <c r="G26" s="25" t="n">
        <f aca="false">MAX(0,G25*(1+Inputs!B19)-'Withdrawal Plan'!L17)</f>
        <v>3170590.36862006</v>
      </c>
      <c r="H26" s="38" t="n">
        <f aca="false">SUM(B26:G26)</f>
        <v>10250074.1806457</v>
      </c>
      <c r="I26" s="39" t="n">
        <f aca="false">H26+Inputs!B36*POWER(1+Inputs!B52,VALUE(A26)-Inputs!B4)</f>
        <v>12451807.2593111</v>
      </c>
    </row>
    <row r="27" customFormat="false" ht="15" hidden="false" customHeight="true" outlineLevel="0" collapsed="false">
      <c r="A27" s="18" t="n">
        <v>80</v>
      </c>
      <c r="B27" s="25" t="n">
        <f aca="false">'Roth Conversion'!J18</f>
        <v>932455.462898383</v>
      </c>
      <c r="C27" s="25" t="n">
        <f aca="false">MAX(0,C26*(1+Inputs!B19)-'Withdrawal Plan'!K18)</f>
        <v>5136356.39716449</v>
      </c>
      <c r="D27" s="25" t="n">
        <f aca="false">D26*(1+Inputs!B19)</f>
        <v>68484.7519621933</v>
      </c>
      <c r="E27" s="25" t="n">
        <f aca="false">E26*(1+Inputs!B19)</f>
        <v>342423.759810966</v>
      </c>
      <c r="F27" s="25" t="n">
        <f aca="false">MAX(0,F26*(1+Inputs!B19)-'Withdrawal Plan'!M18)</f>
        <v>962493.999267071</v>
      </c>
      <c r="G27" s="25" t="n">
        <f aca="false">MAX(0,G26*(1+Inputs!B19)-'Withdrawal Plan'!L18)</f>
        <v>3424237.59810966</v>
      </c>
      <c r="H27" s="38" t="n">
        <f aca="false">SUM(B27:G27)</f>
        <v>10866451.9692128</v>
      </c>
      <c r="I27" s="39" t="n">
        <f aca="false">H27+Inputs!B36*POWER(1+Inputs!B52,VALUE(A27)-Inputs!B4)</f>
        <v>13167263.0364182</v>
      </c>
    </row>
    <row r="28" customFormat="false" ht="15" hidden="false" customHeight="true" outlineLevel="0" collapsed="false">
      <c r="A28" s="18" t="n">
        <v>81</v>
      </c>
      <c r="B28" s="25" t="n">
        <f aca="false">'Roth Conversion'!J19</f>
        <v>818651.249470843</v>
      </c>
      <c r="C28" s="25" t="n">
        <f aca="false">MAX(0,C27*(1+Inputs!B19)-'Withdrawal Plan'!K19)</f>
        <v>5547264.90893765</v>
      </c>
      <c r="D28" s="25" t="n">
        <f aca="false">D27*(1+Inputs!B19)</f>
        <v>73963.5321191687</v>
      </c>
      <c r="E28" s="25" t="n">
        <f aca="false">E27*(1+Inputs!B19)</f>
        <v>369817.660595844</v>
      </c>
      <c r="F28" s="25" t="n">
        <f aca="false">MAX(0,F27*(1+Inputs!B19)-'Withdrawal Plan'!M19)</f>
        <v>1034647.53762223</v>
      </c>
      <c r="G28" s="25" t="n">
        <f aca="false">MAX(0,G27*(1+Inputs!B19)-'Withdrawal Plan'!L19)</f>
        <v>3698176.60595844</v>
      </c>
      <c r="H28" s="38" t="n">
        <f aca="false">SUM(B28:G28)</f>
        <v>11542521.4947042</v>
      </c>
      <c r="I28" s="39" t="n">
        <f aca="false">H28+Inputs!B36*POWER(1+Inputs!B52,VALUE(A28)-Inputs!B4)</f>
        <v>13946869.0599338</v>
      </c>
    </row>
    <row r="29" customFormat="false" ht="15" hidden="false" customHeight="true" outlineLevel="0" collapsed="false">
      <c r="A29" s="18" t="n">
        <v>82</v>
      </c>
      <c r="B29" s="25" t="n">
        <f aca="false">'Roth Conversion'!J20</f>
        <v>706278.180707614</v>
      </c>
      <c r="C29" s="25" t="n">
        <f aca="false">MAX(0,C28*(1+Inputs!B19)-'Withdrawal Plan'!K20)</f>
        <v>5991046.10165267</v>
      </c>
      <c r="D29" s="25" t="n">
        <f aca="false">D28*(1+Inputs!B19)</f>
        <v>79880.6146887023</v>
      </c>
      <c r="E29" s="25" t="n">
        <f aca="false">E28*(1+Inputs!B19)</f>
        <v>399403.073443511</v>
      </c>
      <c r="F29" s="25" t="n">
        <f aca="false">MAX(0,F28*(1+Inputs!B19)-'Withdrawal Plan'!M20)</f>
        <v>1112331.05996649</v>
      </c>
      <c r="G29" s="25" t="n">
        <f aca="false">MAX(0,G28*(1+Inputs!B19)-'Withdrawal Plan'!L20)</f>
        <v>3994030.73443511</v>
      </c>
      <c r="H29" s="38" t="n">
        <f aca="false">SUM(B29:G29)</f>
        <v>12282969.7648941</v>
      </c>
      <c r="I29" s="39" t="n">
        <f aca="false">H29+Inputs!B36*POWER(1+Inputs!B52,VALUE(A29)-Inputs!B4)</f>
        <v>14795512.9705591</v>
      </c>
    </row>
    <row r="30" customFormat="false" ht="15" hidden="false" customHeight="true" outlineLevel="0" collapsed="false">
      <c r="A30" s="18" t="n">
        <v>83</v>
      </c>
      <c r="B30" s="25" t="n">
        <f aca="false">'Roth Conversion'!J21</f>
        <v>595372.035225304</v>
      </c>
      <c r="C30" s="25" t="n">
        <f aca="false">MAX(0,C29*(1+Inputs!B19)-'Withdrawal Plan'!K21)</f>
        <v>6470329.78978488</v>
      </c>
      <c r="D30" s="25" t="n">
        <f aca="false">D29*(1+Inputs!B19)</f>
        <v>86271.0638637984</v>
      </c>
      <c r="E30" s="25" t="n">
        <f aca="false">E29*(1+Inputs!B19)</f>
        <v>431355.319318992</v>
      </c>
      <c r="F30" s="25" t="n">
        <f aca="false">MAX(0,F29*(1+Inputs!B19)-'Withdrawal Plan'!M21)</f>
        <v>1195974.85006501</v>
      </c>
      <c r="G30" s="25" t="n">
        <f aca="false">MAX(0,G29*(1+Inputs!B19)-'Withdrawal Plan'!L21)</f>
        <v>4313553.19318992</v>
      </c>
      <c r="H30" s="38" t="n">
        <f aca="false">SUM(B30:G30)</f>
        <v>13092856.2514479</v>
      </c>
      <c r="I30" s="39" t="n">
        <f aca="false">H30+Inputs!B36*POWER(1+Inputs!B52,VALUE(A30)-Inputs!B4)</f>
        <v>15718463.9013678</v>
      </c>
    </row>
    <row r="31" customFormat="false" ht="15" hidden="false" customHeight="true" outlineLevel="0" collapsed="false">
      <c r="A31" s="18" t="n">
        <v>84</v>
      </c>
      <c r="B31" s="25" t="n">
        <f aca="false">'Roth Conversion'!J22</f>
        <v>485969.486105936</v>
      </c>
      <c r="C31" s="25" t="n">
        <f aca="false">MAX(0,C30*(1+Inputs!B19)-'Withdrawal Plan'!K22)</f>
        <v>6987956.17296767</v>
      </c>
      <c r="D31" s="25" t="n">
        <f aca="false">D30*(1+Inputs!B19)</f>
        <v>93172.7489729023</v>
      </c>
      <c r="E31" s="25" t="n">
        <f aca="false">E30*(1+Inputs!B19)</f>
        <v>465863.744864511</v>
      </c>
      <c r="F31" s="25" t="n">
        <f aca="false">MAX(0,F30*(1+Inputs!B19)-'Withdrawal Plan'!M22)</f>
        <v>1286043.00863648</v>
      </c>
      <c r="G31" s="25" t="n">
        <f aca="false">MAX(0,G30*(1+Inputs!B19)-'Withdrawal Plan'!L22)</f>
        <v>4658637.44864512</v>
      </c>
      <c r="H31" s="38" t="n">
        <f aca="false">SUM(B31:G31)</f>
        <v>13977642.6101926</v>
      </c>
      <c r="I31" s="39" t="n">
        <f aca="false">H31+Inputs!B36*POWER(1+Inputs!B52,VALUE(A31)-Inputs!B4)</f>
        <v>16721402.604359</v>
      </c>
    </row>
    <row r="32" customFormat="false" ht="15" hidden="false" customHeight="true" outlineLevel="0" collapsed="false">
      <c r="A32" s="18" t="n">
        <v>85</v>
      </c>
      <c r="B32" s="25" t="n">
        <f aca="false">'Roth Conversion'!J23</f>
        <v>378108.123258585</v>
      </c>
      <c r="C32" s="25" t="n">
        <f aca="false">MAX(0,C31*(1+Inputs!B19)-'Withdrawal Plan'!K23)</f>
        <v>7546992.66680509</v>
      </c>
      <c r="D32" s="25" t="n">
        <f aca="false">D31*(1+Inputs!B19)</f>
        <v>100626.568890735</v>
      </c>
      <c r="E32" s="25" t="n">
        <f aca="false">E31*(1+Inputs!B19)</f>
        <v>503132.844453672</v>
      </c>
      <c r="F32" s="25" t="n">
        <f aca="false">MAX(0,F31*(1+Inputs!B19)-'Withdrawal Plan'!M23)</f>
        <v>1383036.12842198</v>
      </c>
      <c r="G32" s="25" t="n">
        <f aca="false">MAX(0,G31*(1+Inputs!B19)-'Withdrawal Plan'!L23)</f>
        <v>5031328.44453672</v>
      </c>
      <c r="H32" s="38" t="n">
        <f aca="false">SUM(B32:G32)</f>
        <v>14943224.7763668</v>
      </c>
      <c r="I32" s="39" t="n">
        <f aca="false">H32+Inputs!B36*POWER(1+Inputs!B52,VALUE(A32)-Inputs!B4)</f>
        <v>17810453.9702706</v>
      </c>
    </row>
    <row r="34" customFormat="false" ht="15" hidden="false" customHeight="true" outlineLevel="0" collapsed="false">
      <c r="A34" s="70" t="s">
        <v>150</v>
      </c>
      <c r="B34" s="70"/>
      <c r="C34" s="70"/>
      <c r="D34" s="70"/>
      <c r="E34" s="70"/>
      <c r="F34" s="70"/>
      <c r="G34" s="70"/>
      <c r="H34" s="70"/>
      <c r="I34" s="70"/>
    </row>
  </sheetData>
  <mergeCells count="2">
    <mergeCell ref="A1:I1"/>
    <mergeCell ref="A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231A"/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8"/>
  </cols>
  <sheetData>
    <row r="1" customFormat="false" ht="30" hidden="false" customHeight="true" outlineLevel="0" collapsed="false">
      <c r="A1" s="16" t="s">
        <v>151</v>
      </c>
      <c r="B1" s="16"/>
      <c r="C1" s="16"/>
      <c r="D1" s="16"/>
    </row>
    <row r="2" customFormat="false" ht="24" hidden="false" customHeight="true" outlineLevel="0" collapsed="false">
      <c r="A2" s="71" t="s">
        <v>152</v>
      </c>
      <c r="B2" s="71" t="s">
        <v>153</v>
      </c>
      <c r="C2" s="71" t="s">
        <v>154</v>
      </c>
      <c r="D2" s="71" t="s">
        <v>155</v>
      </c>
    </row>
    <row r="3" customFormat="false" ht="19.5" hidden="false" customHeight="true" outlineLevel="0" collapsed="false">
      <c r="A3" s="72" t="s">
        <v>156</v>
      </c>
      <c r="B3" s="73" t="n">
        <f aca="false">Inputs!B22</f>
        <v>3330</v>
      </c>
      <c r="C3" s="73" t="n">
        <f aca="false">Inputs!B23</f>
        <v>3972</v>
      </c>
      <c r="D3" s="73" t="n">
        <f aca="false">Inputs!B24</f>
        <v>5200</v>
      </c>
    </row>
    <row r="4" customFormat="false" ht="19.5" hidden="false" customHeight="true" outlineLevel="0" collapsed="false">
      <c r="A4" s="72" t="s">
        <v>157</v>
      </c>
      <c r="B4" s="74" t="n">
        <f aca="false">Inputs!B22*12</f>
        <v>39960</v>
      </c>
      <c r="C4" s="74" t="n">
        <f aca="false">Inputs!B23*12</f>
        <v>47664</v>
      </c>
      <c r="D4" s="74" t="n">
        <f aca="false">Inputs!B24*12</f>
        <v>62400</v>
      </c>
    </row>
    <row r="5" customFormat="false" ht="19.5" hidden="false" customHeight="true" outlineLevel="0" collapsed="false">
      <c r="A5" s="72" t="s">
        <v>158</v>
      </c>
      <c r="B5" s="75" t="n">
        <f aca="false">85-65</f>
        <v>20</v>
      </c>
      <c r="C5" s="75" t="n">
        <f aca="false">85-67</f>
        <v>18</v>
      </c>
      <c r="D5" s="75" t="n">
        <f aca="false">85-70</f>
        <v>15</v>
      </c>
    </row>
    <row r="6" customFormat="false" ht="19.5" hidden="false" customHeight="true" outlineLevel="0" collapsed="false">
      <c r="A6" s="72" t="s">
        <v>159</v>
      </c>
      <c r="B6" s="74" t="n">
        <f aca="false">Inputs!B22*12*20</f>
        <v>799200</v>
      </c>
      <c r="C6" s="74" t="n">
        <f aca="false">Inputs!B23*12*18</f>
        <v>857952</v>
      </c>
      <c r="D6" s="74" t="n">
        <f aca="false">Inputs!B24*12*15</f>
        <v>936000</v>
      </c>
    </row>
    <row r="7" customFormat="false" ht="19.5" hidden="false" customHeight="true" outlineLevel="0" collapsed="false">
      <c r="A7" s="72" t="s">
        <v>160</v>
      </c>
      <c r="B7" s="75" t="s">
        <v>161</v>
      </c>
      <c r="C7" s="75" t="s">
        <v>162</v>
      </c>
      <c r="D7" s="75" t="s">
        <v>163</v>
      </c>
    </row>
    <row r="8" customFormat="false" ht="19.5" hidden="false" customHeight="true" outlineLevel="0" collapsed="false">
      <c r="A8" s="72" t="s">
        <v>164</v>
      </c>
      <c r="B8" s="76" t="s">
        <v>165</v>
      </c>
      <c r="C8" s="76" t="s">
        <v>166</v>
      </c>
      <c r="D8" s="76" t="s">
        <v>167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72"/>
  </cols>
  <sheetData>
    <row r="1" customFormat="false" ht="30" hidden="false" customHeight="true" outlineLevel="0" collapsed="false">
      <c r="A1" s="16" t="s">
        <v>168</v>
      </c>
      <c r="B1" s="16"/>
    </row>
    <row r="2" customFormat="false" ht="54" hidden="false" customHeight="true" outlineLevel="0" collapsed="false">
      <c r="A2" s="77" t="s">
        <v>169</v>
      </c>
      <c r="B2" s="78" t="s">
        <v>170</v>
      </c>
    </row>
    <row r="3" customFormat="false" ht="54" hidden="false" customHeight="true" outlineLevel="0" collapsed="false">
      <c r="A3" s="79" t="s">
        <v>171</v>
      </c>
      <c r="B3" s="80" t="s">
        <v>172</v>
      </c>
    </row>
    <row r="4" customFormat="false" ht="54" hidden="false" customHeight="true" outlineLevel="0" collapsed="false">
      <c r="A4" s="81" t="s">
        <v>173</v>
      </c>
      <c r="B4" s="82" t="s">
        <v>174</v>
      </c>
    </row>
    <row r="5" customFormat="false" ht="54" hidden="false" customHeight="true" outlineLevel="0" collapsed="false">
      <c r="A5" s="79" t="s">
        <v>175</v>
      </c>
      <c r="B5" s="80" t="s">
        <v>176</v>
      </c>
    </row>
    <row r="6" customFormat="false" ht="54" hidden="false" customHeight="true" outlineLevel="0" collapsed="false">
      <c r="A6" s="81" t="s">
        <v>177</v>
      </c>
      <c r="B6" s="82" t="s">
        <v>178</v>
      </c>
    </row>
    <row r="7" customFormat="false" ht="54" hidden="false" customHeight="true" outlineLevel="0" collapsed="false">
      <c r="A7" s="79" t="s">
        <v>179</v>
      </c>
      <c r="B7" s="80" t="s">
        <v>180</v>
      </c>
    </row>
    <row r="8" customFormat="false" ht="54" hidden="false" customHeight="true" outlineLevel="0" collapsed="false">
      <c r="A8" s="81" t="s">
        <v>181</v>
      </c>
      <c r="B8" s="82" t="s">
        <v>182</v>
      </c>
    </row>
    <row r="9" customFormat="false" ht="54" hidden="false" customHeight="true" outlineLevel="0" collapsed="false">
      <c r="A9" s="79" t="s">
        <v>183</v>
      </c>
      <c r="B9" s="80" t="s">
        <v>184</v>
      </c>
    </row>
    <row r="10" customFormat="false" ht="54" hidden="false" customHeight="true" outlineLevel="0" collapsed="false">
      <c r="A10" s="81" t="s">
        <v>185</v>
      </c>
      <c r="B10" s="82" t="s">
        <v>186</v>
      </c>
    </row>
    <row r="11" customFormat="false" ht="54" hidden="false" customHeight="true" outlineLevel="0" collapsed="false">
      <c r="A11" s="79" t="s">
        <v>187</v>
      </c>
      <c r="B11" s="80" t="s">
        <v>188</v>
      </c>
    </row>
    <row r="12" customFormat="false" ht="54" hidden="false" customHeight="true" outlineLevel="0" collapsed="false">
      <c r="A12" s="81" t="s">
        <v>189</v>
      </c>
      <c r="B12" s="82" t="s">
        <v>190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0" width="14"/>
  </cols>
  <sheetData>
    <row r="1" customFormat="false" ht="19.5" hidden="false" customHeight="true" outlineLevel="0" collapsed="false">
      <c r="A1" s="83" t="s">
        <v>191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</row>
    <row r="3" customFormat="false" ht="15" hidden="false" customHeight="false" outlineLevel="0" collapsed="false">
      <c r="A3" s="84" t="s">
        <v>60</v>
      </c>
      <c r="B3" s="84" t="s">
        <v>192</v>
      </c>
      <c r="C3" s="84" t="s">
        <v>193</v>
      </c>
      <c r="D3" s="84" t="s">
        <v>194</v>
      </c>
      <c r="E3" s="84" t="s">
        <v>195</v>
      </c>
      <c r="F3" s="84" t="s">
        <v>196</v>
      </c>
      <c r="G3" s="84" t="s">
        <v>197</v>
      </c>
      <c r="H3" s="84" t="s">
        <v>198</v>
      </c>
    </row>
    <row r="4" customFormat="false" ht="15" hidden="false" customHeight="false" outlineLevel="0" collapsed="false">
      <c r="A4" s="85" t="n">
        <f aca="false">Portfolio!A3</f>
        <v>56</v>
      </c>
      <c r="B4" s="86" t="n">
        <f aca="false">Portfolio!B3</f>
        <v>3037518.75</v>
      </c>
      <c r="C4" s="86" t="n">
        <f aca="false">Portfolio!C3</f>
        <v>810000</v>
      </c>
      <c r="D4" s="86" t="n">
        <f aca="false">Portfolio!D3</f>
        <v>10800</v>
      </c>
      <c r="E4" s="86" t="n">
        <f aca="false">Portfolio!E3</f>
        <v>54000</v>
      </c>
      <c r="F4" s="86" t="n">
        <f aca="false">Portfolio!F3</f>
        <v>116640</v>
      </c>
      <c r="G4" s="86" t="n">
        <f aca="false">Portfolio!G3</f>
        <v>540000</v>
      </c>
      <c r="H4" s="86" t="n">
        <f aca="false">Portfolio!I3</f>
        <v>5368958.75</v>
      </c>
    </row>
    <row r="5" customFormat="false" ht="15" hidden="false" customHeight="false" outlineLevel="0" collapsed="false">
      <c r="A5" s="85" t="n">
        <f aca="false">Portfolio!A4</f>
        <v>57</v>
      </c>
      <c r="B5" s="86" t="n">
        <f aca="false">Portfolio!B4</f>
        <v>3318039</v>
      </c>
      <c r="C5" s="86" t="n">
        <f aca="false">Portfolio!C4</f>
        <v>874800</v>
      </c>
      <c r="D5" s="86" t="n">
        <f aca="false">Portfolio!D4</f>
        <v>11664</v>
      </c>
      <c r="E5" s="86" t="n">
        <f aca="false">Portfolio!E4</f>
        <v>58320</v>
      </c>
      <c r="F5" s="86" t="n">
        <f aca="false">Portfolio!F4</f>
        <v>134611.2</v>
      </c>
      <c r="G5" s="86" t="n">
        <f aca="false">Portfolio!G4</f>
        <v>583200</v>
      </c>
      <c r="H5" s="86" t="n">
        <f aca="false">Portfolio!I4</f>
        <v>5816634.2</v>
      </c>
    </row>
    <row r="6" customFormat="false" ht="15" hidden="false" customHeight="false" outlineLevel="0" collapsed="false">
      <c r="A6" s="85" t="n">
        <f aca="false">Portfolio!A5</f>
        <v>58</v>
      </c>
      <c r="B6" s="86" t="n">
        <f aca="false">Portfolio!B5</f>
        <v>3621000.87</v>
      </c>
      <c r="C6" s="86" t="n">
        <f aca="false">Portfolio!C5</f>
        <v>944784</v>
      </c>
      <c r="D6" s="86" t="n">
        <f aca="false">Portfolio!D5</f>
        <v>12597.12</v>
      </c>
      <c r="E6" s="86" t="n">
        <f aca="false">Portfolio!E5</f>
        <v>62985.6</v>
      </c>
      <c r="F6" s="86" t="n">
        <f aca="false">Portfolio!F5</f>
        <v>154020.096</v>
      </c>
      <c r="G6" s="86" t="n">
        <f aca="false">Portfolio!G5</f>
        <v>629856</v>
      </c>
      <c r="H6" s="86" t="n">
        <f aca="false">Portfolio!I5</f>
        <v>6298863.686</v>
      </c>
    </row>
    <row r="7" customFormat="false" ht="15" hidden="false" customHeight="false" outlineLevel="0" collapsed="false">
      <c r="A7" s="85" t="n">
        <f aca="false">Portfolio!A6</f>
        <v>59</v>
      </c>
      <c r="B7" s="86" t="n">
        <f aca="false">Portfolio!B6</f>
        <v>3948199.6896</v>
      </c>
      <c r="C7" s="86" t="n">
        <f aca="false">Portfolio!C6</f>
        <v>1020366.72</v>
      </c>
      <c r="D7" s="86" t="n">
        <f aca="false">Portfolio!D6</f>
        <v>13604.8896</v>
      </c>
      <c r="E7" s="86" t="n">
        <f aca="false">Portfolio!E6</f>
        <v>68024.448</v>
      </c>
      <c r="F7" s="86" t="n">
        <f aca="false">Portfolio!F6</f>
        <v>174981.70368</v>
      </c>
      <c r="G7" s="86" t="n">
        <f aca="false">Portfolio!G6</f>
        <v>680244.48</v>
      </c>
      <c r="H7" s="86" t="n">
        <f aca="false">Portfolio!I6</f>
        <v>6818354.83088</v>
      </c>
    </row>
    <row r="8" customFormat="false" ht="15" hidden="false" customHeight="false" outlineLevel="0" collapsed="false">
      <c r="A8" s="85" t="n">
        <f aca="false">Portfolio!A7</f>
        <v>60</v>
      </c>
      <c r="B8" s="86" t="n">
        <f aca="false">Portfolio!B7</f>
        <v>4301574.414768</v>
      </c>
      <c r="C8" s="86" t="n">
        <f aca="false">Portfolio!C7</f>
        <v>1101996.0576</v>
      </c>
      <c r="D8" s="86" t="n">
        <f aca="false">Portfolio!D7</f>
        <v>14693.280768</v>
      </c>
      <c r="E8" s="86" t="n">
        <f aca="false">Portfolio!E7</f>
        <v>73466.40384</v>
      </c>
      <c r="F8" s="86" t="n">
        <f aca="false">Portfolio!F7</f>
        <v>197620.2399744</v>
      </c>
      <c r="G8" s="86" t="n">
        <f aca="false">Portfolio!G7</f>
        <v>734664.0384</v>
      </c>
      <c r="H8" s="86" t="n">
        <f aca="false">Portfolio!I7</f>
        <v>7378029.3158504</v>
      </c>
    </row>
    <row r="9" customFormat="false" ht="15" hidden="false" customHeight="false" outlineLevel="0" collapsed="false">
      <c r="A9" s="85" t="n">
        <f aca="false">Portfolio!A8</f>
        <v>61</v>
      </c>
      <c r="B9" s="86" t="n">
        <f aca="false">Portfolio!B8</f>
        <v>4683219.11794944</v>
      </c>
      <c r="C9" s="86" t="n">
        <f aca="false">Portfolio!C8</f>
        <v>1190155.742208</v>
      </c>
      <c r="D9" s="86" t="n">
        <f aca="false">Portfolio!D8</f>
        <v>15868.74322944</v>
      </c>
      <c r="E9" s="86" t="n">
        <f aca="false">Portfolio!E8</f>
        <v>79343.7161472</v>
      </c>
      <c r="F9" s="86" t="n">
        <f aca="false">Portfolio!F8</f>
        <v>222069.859172352</v>
      </c>
      <c r="G9" s="86" t="n">
        <f aca="false">Portfolio!G8</f>
        <v>793437.161472</v>
      </c>
      <c r="H9" s="86" t="n">
        <f aca="false">Portfolio!I8</f>
        <v>7981039.89030093</v>
      </c>
    </row>
    <row r="10" customFormat="false" ht="15" hidden="false" customHeight="false" outlineLevel="0" collapsed="false">
      <c r="A10" s="85" t="n">
        <f aca="false">Portfolio!A9</f>
        <v>62</v>
      </c>
      <c r="B10" s="86" t="n">
        <f aca="false">Portfolio!B9</f>
        <v>5095395.3973854</v>
      </c>
      <c r="C10" s="86" t="n">
        <f aca="false">Portfolio!C9</f>
        <v>1285368.20158464</v>
      </c>
      <c r="D10" s="86" t="n">
        <f aca="false">Portfolio!D9</f>
        <v>17138.2426877952</v>
      </c>
      <c r="E10" s="86" t="n">
        <f aca="false">Portfolio!E9</f>
        <v>85691.213438976</v>
      </c>
      <c r="F10" s="86" t="n">
        <f aca="false">Portfolio!F9</f>
        <v>248475.44790614</v>
      </c>
      <c r="G10" s="86" t="n">
        <f aca="false">Portfolio!G9</f>
        <v>856912.13438976</v>
      </c>
      <c r="H10" s="86" t="n">
        <f aca="false">Portfolio!I9</f>
        <v>8630788.73727072</v>
      </c>
    </row>
    <row r="11" customFormat="false" ht="15" hidden="false" customHeight="false" outlineLevel="0" collapsed="false">
      <c r="A11" s="85" t="n">
        <f aca="false">Portfolio!A10</f>
        <v>63</v>
      </c>
      <c r="B11" s="86" t="n">
        <f aca="false">Portfolio!B10</f>
        <v>5540545.77917623</v>
      </c>
      <c r="C11" s="86" t="n">
        <f aca="false">Portfolio!C10</f>
        <v>1388197.65771141</v>
      </c>
      <c r="D11" s="86" t="n">
        <f aca="false">Portfolio!D10</f>
        <v>18509.3021028188</v>
      </c>
      <c r="E11" s="86" t="n">
        <f aca="false">Portfolio!E10</f>
        <v>92546.5105140941</v>
      </c>
      <c r="F11" s="86" t="n">
        <f aca="false">Portfolio!F10</f>
        <v>276993.483738632</v>
      </c>
      <c r="G11" s="86" t="n">
        <f aca="false">Portfolio!G10</f>
        <v>925465.105140941</v>
      </c>
      <c r="H11" s="86" t="n">
        <f aca="false">Portfolio!I10</f>
        <v>9330947.30275665</v>
      </c>
    </row>
    <row r="12" customFormat="false" ht="15" hidden="false" customHeight="false" outlineLevel="0" collapsed="false">
      <c r="A12" s="85" t="n">
        <f aca="false">Portfolio!A11</f>
        <v>64</v>
      </c>
      <c r="B12" s="86" t="n">
        <f aca="false">Portfolio!B11</f>
        <v>6021308.19151033</v>
      </c>
      <c r="C12" s="86" t="n">
        <f aca="false">Portfolio!C11</f>
        <v>1499253.47032833</v>
      </c>
      <c r="D12" s="86" t="n">
        <f aca="false">Portfolio!D11</f>
        <v>19990.0462710443</v>
      </c>
      <c r="E12" s="86" t="n">
        <f aca="false">Portfolio!E11</f>
        <v>99950.2313552217</v>
      </c>
      <c r="F12" s="86" t="n">
        <f aca="false">Portfolio!F11</f>
        <v>307792.962437722</v>
      </c>
      <c r="G12" s="86" t="n">
        <f aca="false">Portfolio!G11</f>
        <v>999502.313552217</v>
      </c>
      <c r="H12" s="86" t="n">
        <f aca="false">Portfolio!I11</f>
        <v>10085477.7057241</v>
      </c>
    </row>
    <row r="13" customFormat="false" ht="15" hidden="false" customHeight="false" outlineLevel="0" collapsed="false">
      <c r="A13" s="85" t="n">
        <f aca="false">Portfolio!A12</f>
        <v>65</v>
      </c>
      <c r="B13" s="86" t="n">
        <f aca="false">Portfolio!B12</f>
        <v>2828950</v>
      </c>
      <c r="C13" s="86" t="n">
        <f aca="false">Portfolio!C12</f>
        <v>1619193.74795459</v>
      </c>
      <c r="D13" s="86" t="n">
        <f aca="false">Portfolio!D12</f>
        <v>21589.2499727279</v>
      </c>
      <c r="E13" s="86" t="n">
        <f aca="false">Portfolio!E12</f>
        <v>107946.249863639</v>
      </c>
      <c r="F13" s="86" t="n">
        <f aca="false">Portfolio!F12</f>
        <v>330196.39943274</v>
      </c>
      <c r="G13" s="86" t="n">
        <f aca="false">Portfolio!G12</f>
        <v>1079462.49863639</v>
      </c>
      <c r="H13" s="86" t="n">
        <f aca="false">Portfolio!I12</f>
        <v>7176214.2581915</v>
      </c>
    </row>
    <row r="14" customFormat="false" ht="15" hidden="false" customHeight="false" outlineLevel="0" collapsed="false">
      <c r="A14" s="85" t="n">
        <f aca="false">Portfolio!A13</f>
        <v>66</v>
      </c>
      <c r="B14" s="86" t="n">
        <f aca="false">Portfolio!B13</f>
        <v>2657900</v>
      </c>
      <c r="C14" s="86" t="n">
        <f aca="false">Portfolio!C13</f>
        <v>1748729.24779096</v>
      </c>
      <c r="D14" s="86" t="n">
        <f aca="false">Portfolio!D13</f>
        <v>23316.3899705461</v>
      </c>
      <c r="E14" s="86" t="n">
        <f aca="false">Portfolio!E13</f>
        <v>116581.949852731</v>
      </c>
      <c r="F14" s="86" t="n">
        <f aca="false">Portfolio!F13</f>
        <v>354281.111387359</v>
      </c>
      <c r="G14" s="86" t="n">
        <f aca="false">Portfolio!G13</f>
        <v>1165819.49852731</v>
      </c>
      <c r="H14" s="86" t="n">
        <f aca="false">Portfolio!I13</f>
        <v>7309003.73491522</v>
      </c>
    </row>
    <row r="15" customFormat="false" ht="15" hidden="false" customHeight="false" outlineLevel="0" collapsed="false">
      <c r="A15" s="85" t="n">
        <f aca="false">Portfolio!A14</f>
        <v>67</v>
      </c>
      <c r="B15" s="86" t="n">
        <f aca="false">Portfolio!B14</f>
        <v>2527364.4</v>
      </c>
      <c r="C15" s="86" t="n">
        <f aca="false">Portfolio!C14</f>
        <v>1888627.58761424</v>
      </c>
      <c r="D15" s="86" t="n">
        <f aca="false">Portfolio!D14</f>
        <v>25181.7011681898</v>
      </c>
      <c r="E15" s="86" t="n">
        <f aca="false">Portfolio!E14</f>
        <v>125908.505840949</v>
      </c>
      <c r="F15" s="86" t="n">
        <f aca="false">Portfolio!F14</f>
        <v>380176.050298348</v>
      </c>
      <c r="G15" s="86" t="n">
        <f aca="false">Portfolio!G14</f>
        <v>1259085.05840949</v>
      </c>
      <c r="H15" s="86" t="n">
        <f aca="false">Portfolio!I14</f>
        <v>7504625.73989991</v>
      </c>
    </row>
    <row r="16" customFormat="false" ht="15" hidden="false" customHeight="false" outlineLevel="0" collapsed="false">
      <c r="A16" s="85" t="n">
        <f aca="false">Portfolio!A15</f>
        <v>68</v>
      </c>
      <c r="B16" s="86" t="n">
        <f aca="false">Portfolio!B15</f>
        <v>2397841.66</v>
      </c>
      <c r="C16" s="86" t="n">
        <f aca="false">Portfolio!C15</f>
        <v>2039717.79462337</v>
      </c>
      <c r="D16" s="86" t="n">
        <f aca="false">Portfolio!D15</f>
        <v>27196.237261645</v>
      </c>
      <c r="E16" s="86" t="n">
        <f aca="false">Portfolio!E15</f>
        <v>135981.186308225</v>
      </c>
      <c r="F16" s="86" t="n">
        <f aca="false">Portfolio!F15</f>
        <v>408020.206822216</v>
      </c>
      <c r="G16" s="86" t="n">
        <f aca="false">Portfolio!G15</f>
        <v>1359811.86308225</v>
      </c>
      <c r="H16" s="86" t="n">
        <f aca="false">Portfolio!I15</f>
        <v>7725274.094312</v>
      </c>
    </row>
    <row r="17" customFormat="false" ht="15" hidden="false" customHeight="false" outlineLevel="0" collapsed="false">
      <c r="A17" s="85" t="n">
        <f aca="false">Portfolio!A16</f>
        <v>69</v>
      </c>
      <c r="B17" s="86" t="n">
        <f aca="false">Portfolio!B16</f>
        <v>2269357.1015</v>
      </c>
      <c r="C17" s="86" t="n">
        <f aca="false">Portfolio!C16</f>
        <v>2202895.21819324</v>
      </c>
      <c r="D17" s="86" t="n">
        <f aca="false">Portfolio!D16</f>
        <v>29371.9362425766</v>
      </c>
      <c r="E17" s="86" t="n">
        <f aca="false">Portfolio!E16</f>
        <v>146859.681212883</v>
      </c>
      <c r="F17" s="86" t="n">
        <f aca="false">Portfolio!F16</f>
        <v>437963.399492993</v>
      </c>
      <c r="G17" s="86" t="n">
        <f aca="false">Portfolio!G16</f>
        <v>1468596.81212883</v>
      </c>
      <c r="H17" s="86" t="n">
        <f aca="false">Portfolio!I16</f>
        <v>7972801.02656446</v>
      </c>
    </row>
    <row r="18" customFormat="false" ht="15" hidden="false" customHeight="false" outlineLevel="0" collapsed="false">
      <c r="A18" s="85" t="n">
        <f aca="false">Portfolio!A17</f>
        <v>70</v>
      </c>
      <c r="B18" s="86" t="n">
        <f aca="false">Portfolio!B17</f>
        <v>2141936.6790375</v>
      </c>
      <c r="C18" s="86" t="n">
        <f aca="false">Portfolio!C17</f>
        <v>2379126.8356487</v>
      </c>
      <c r="D18" s="86" t="n">
        <f aca="false">Portfolio!D17</f>
        <v>31721.6911419827</v>
      </c>
      <c r="E18" s="86" t="n">
        <f aca="false">Portfolio!E17</f>
        <v>158608.455709914</v>
      </c>
      <c r="F18" s="86" t="n">
        <f aca="false">Portfolio!F17</f>
        <v>470167.126383683</v>
      </c>
      <c r="G18" s="86" t="n">
        <f aca="false">Portfolio!G17</f>
        <v>1586084.55709914</v>
      </c>
      <c r="H18" s="86" t="n">
        <f aca="false">Portfolio!I17</f>
        <v>8249201.28231558</v>
      </c>
    </row>
    <row r="19" customFormat="false" ht="15" hidden="false" customHeight="false" outlineLevel="0" collapsed="false">
      <c r="A19" s="85" t="n">
        <f aca="false">Portfolio!A18</f>
        <v>71</v>
      </c>
      <c r="B19" s="86" t="n">
        <f aca="false">Portfolio!B18</f>
        <v>2015606.99601344</v>
      </c>
      <c r="C19" s="86" t="n">
        <f aca="false">Portfolio!C18</f>
        <v>2569456.9825006</v>
      </c>
      <c r="D19" s="86" t="n">
        <f aca="false">Portfolio!D18</f>
        <v>34259.4264333413</v>
      </c>
      <c r="E19" s="86" t="n">
        <f aca="false">Portfolio!E18</f>
        <v>171297.132166707</v>
      </c>
      <c r="F19" s="86" t="n">
        <f aca="false">Portfolio!F18</f>
        <v>504805.48417219</v>
      </c>
      <c r="G19" s="86" t="n">
        <f aca="false">Portfolio!G18</f>
        <v>1712971.32166707</v>
      </c>
      <c r="H19" s="86" t="n">
        <f aca="false">Portfolio!I18</f>
        <v>8556623.29742627</v>
      </c>
    </row>
    <row r="20" customFormat="false" ht="15" hidden="false" customHeight="false" outlineLevel="0" collapsed="false">
      <c r="A20" s="85" t="n">
        <f aca="false">Portfolio!A19</f>
        <v>72</v>
      </c>
      <c r="B20" s="86" t="n">
        <f aca="false">Portfolio!B19</f>
        <v>1890395.32091377</v>
      </c>
      <c r="C20" s="86" t="n">
        <f aca="false">Portfolio!C19</f>
        <v>2775013.54110065</v>
      </c>
      <c r="D20" s="86" t="n">
        <f aca="false">Portfolio!D19</f>
        <v>37000.1805480087</v>
      </c>
      <c r="E20" s="86" t="n">
        <f aca="false">Portfolio!E19</f>
        <v>185000.902740043</v>
      </c>
      <c r="F20" s="86" t="n">
        <f aca="false">Portfolio!F19</f>
        <v>542066.159967668</v>
      </c>
      <c r="G20" s="86" t="n">
        <f aca="false">Portfolio!G19</f>
        <v>1850009.02740043</v>
      </c>
      <c r="H20" s="86" t="n">
        <f aca="false">Portfolio!I19</f>
        <v>8897381.25509478</v>
      </c>
    </row>
    <row r="21" customFormat="false" ht="15" hidden="false" customHeight="false" outlineLevel="0" collapsed="false">
      <c r="A21" s="85" t="n">
        <f aca="false">Portfolio!A20</f>
        <v>73</v>
      </c>
      <c r="B21" s="86" t="n">
        <f aca="false">Portfolio!B20</f>
        <v>1766329.60393662</v>
      </c>
      <c r="C21" s="86" t="n">
        <f aca="false">Portfolio!C20</f>
        <v>2997014.6243887</v>
      </c>
      <c r="D21" s="86" t="n">
        <f aca="false">Portfolio!D20</f>
        <v>39960.1949918494</v>
      </c>
      <c r="E21" s="86" t="n">
        <f aca="false">Portfolio!E20</f>
        <v>199800.974959247</v>
      </c>
      <c r="F21" s="86" t="n">
        <f aca="false">Portfolio!F20</f>
        <v>582151.50167987</v>
      </c>
      <c r="G21" s="86" t="n">
        <f aca="false">Portfolio!G20</f>
        <v>1998009.74959247</v>
      </c>
      <c r="H21" s="86" t="n">
        <f aca="false">Portfolio!I20</f>
        <v>9273968.09748204</v>
      </c>
    </row>
    <row r="22" customFormat="false" ht="15" hidden="false" customHeight="false" outlineLevel="0" collapsed="false">
      <c r="A22" s="85" t="n">
        <f aca="false">Portfolio!A21</f>
        <v>74</v>
      </c>
      <c r="B22" s="86" t="n">
        <f aca="false">Portfolio!B21</f>
        <v>1643438.49403503</v>
      </c>
      <c r="C22" s="86" t="n">
        <f aca="false">Portfolio!C21</f>
        <v>3236775.7943398</v>
      </c>
      <c r="D22" s="86" t="n">
        <f aca="false">Portfolio!D21</f>
        <v>43157.0105911973</v>
      </c>
      <c r="E22" s="86" t="n">
        <f aca="false">Portfolio!E21</f>
        <v>215785.052955986</v>
      </c>
      <c r="F22" s="86" t="n">
        <f aca="false">Portfolio!F21</f>
        <v>625279.673174787</v>
      </c>
      <c r="G22" s="86" t="n">
        <f aca="false">Portfolio!G21</f>
        <v>2157850.52955986</v>
      </c>
      <c r="H22" s="86" t="n">
        <f aca="false">Portfolio!I21</f>
        <v>9689069.56774696</v>
      </c>
    </row>
    <row r="23" customFormat="false" ht="15" hidden="false" customHeight="false" outlineLevel="0" collapsed="false">
      <c r="A23" s="85" t="n">
        <f aca="false">Portfolio!A22</f>
        <v>75</v>
      </c>
      <c r="B23" s="86" t="n">
        <f aca="false">Portfolio!B22</f>
        <v>1521751.35638591</v>
      </c>
      <c r="C23" s="86" t="n">
        <f aca="false">Portfolio!C22</f>
        <v>3495717.85788698</v>
      </c>
      <c r="D23" s="86" t="n">
        <f aca="false">Portfolio!D22</f>
        <v>46609.5714384931</v>
      </c>
      <c r="E23" s="86" t="n">
        <f aca="false">Portfolio!E22</f>
        <v>233047.857192465</v>
      </c>
      <c r="F23" s="86" t="n">
        <f aca="false">Portfolio!F22</f>
        <v>671685.900957324</v>
      </c>
      <c r="G23" s="86" t="n">
        <f aca="false">Portfolio!G22</f>
        <v>2330478.57192465</v>
      </c>
      <c r="H23" s="86" t="n">
        <f aca="false">Portfolio!I22</f>
        <v>10145579.3644652</v>
      </c>
    </row>
    <row r="24" customFormat="false" ht="15" hidden="false" customHeight="false" outlineLevel="0" collapsed="false">
      <c r="A24" s="85" t="n">
        <f aca="false">Portfolio!A23</f>
        <v>76</v>
      </c>
      <c r="B24" s="86" t="n">
        <f aca="false">Portfolio!B23</f>
        <v>1401298.29029556</v>
      </c>
      <c r="C24" s="86" t="n">
        <f aca="false">Portfolio!C23</f>
        <v>3775375.28651794</v>
      </c>
      <c r="D24" s="86" t="n">
        <f aca="false">Portfolio!D23</f>
        <v>50338.3371535725</v>
      </c>
      <c r="E24" s="86" t="n">
        <f aca="false">Portfolio!E23</f>
        <v>251691.685767863</v>
      </c>
      <c r="F24" s="86" t="n">
        <f aca="false">Portfolio!F23</f>
        <v>721623.819658892</v>
      </c>
      <c r="G24" s="86" t="n">
        <f aca="false">Portfolio!G23</f>
        <v>2516916.85767863</v>
      </c>
      <c r="H24" s="86" t="n">
        <f aca="false">Portfolio!I23</f>
        <v>10646615.4969424</v>
      </c>
    </row>
    <row r="25" customFormat="false" ht="15" hidden="false" customHeight="false" outlineLevel="0" collapsed="false">
      <c r="A25" s="85" t="n">
        <f aca="false">Portfolio!A24</f>
        <v>77</v>
      </c>
      <c r="B25" s="86" t="n">
        <f aca="false">Portfolio!B24</f>
        <v>1282110.14755295</v>
      </c>
      <c r="C25" s="86" t="n">
        <f aca="false">Portfolio!C24</f>
        <v>4077405.30943937</v>
      </c>
      <c r="D25" s="86" t="n">
        <f aca="false">Portfolio!D24</f>
        <v>54365.4041258583</v>
      </c>
      <c r="E25" s="86" t="n">
        <f aca="false">Portfolio!E24</f>
        <v>271827.020629292</v>
      </c>
      <c r="F25" s="86" t="n">
        <f aca="false">Portfolio!F24</f>
        <v>775366.924187834</v>
      </c>
      <c r="G25" s="86" t="n">
        <f aca="false">Portfolio!G24</f>
        <v>2718270.20629292</v>
      </c>
      <c r="H25" s="86" t="n">
        <f aca="false">Portfolio!I24</f>
        <v>11195537.9369923</v>
      </c>
    </row>
    <row r="26" customFormat="false" ht="15" hidden="false" customHeight="false" outlineLevel="0" collapsed="false">
      <c r="A26" s="85" t="n">
        <f aca="false">Portfolio!A25</f>
        <v>78</v>
      </c>
      <c r="B26" s="86" t="n">
        <f aca="false">Portfolio!B25</f>
        <v>1164218.55124177</v>
      </c>
      <c r="C26" s="86" t="n">
        <f aca="false">Portfolio!C25</f>
        <v>4403597.73419453</v>
      </c>
      <c r="D26" s="86" t="n">
        <f aca="false">Portfolio!D25</f>
        <v>58714.636455927</v>
      </c>
      <c r="E26" s="86" t="n">
        <f aca="false">Portfolio!E25</f>
        <v>293573.182279635</v>
      </c>
      <c r="F26" s="86" t="n">
        <f aca="false">Portfolio!F25</f>
        <v>833210.137026903</v>
      </c>
      <c r="G26" s="86" t="n">
        <f aca="false">Portfolio!G25</f>
        <v>2935731.82279635</v>
      </c>
      <c r="H26" s="86" t="n">
        <f aca="false">Portfolio!I25</f>
        <v>11795967.6703736</v>
      </c>
    </row>
    <row r="27" customFormat="false" ht="15" hidden="false" customHeight="false" outlineLevel="0" collapsed="false">
      <c r="A27" s="85" t="n">
        <f aca="false">Portfolio!A26</f>
        <v>79</v>
      </c>
      <c r="B27" s="86" t="n">
        <f aca="false">Portfolio!B26</f>
        <v>1047655.91502281</v>
      </c>
      <c r="C27" s="86" t="n">
        <f aca="false">Portfolio!C26</f>
        <v>4755885.55293009</v>
      </c>
      <c r="D27" s="86" t="n">
        <f aca="false">Portfolio!D26</f>
        <v>63411.8073724012</v>
      </c>
      <c r="E27" s="86" t="n">
        <f aca="false">Portfolio!E26</f>
        <v>317059.036862006</v>
      </c>
      <c r="F27" s="86" t="n">
        <f aca="false">Portfolio!F26</f>
        <v>895471.4998383</v>
      </c>
      <c r="G27" s="86" t="n">
        <f aca="false">Portfolio!G26</f>
        <v>3170590.36862006</v>
      </c>
      <c r="H27" s="86" t="n">
        <f aca="false">Portfolio!I26</f>
        <v>12451807.2593111</v>
      </c>
    </row>
    <row r="28" customFormat="false" ht="15" hidden="false" customHeight="false" outlineLevel="0" collapsed="false">
      <c r="A28" s="85" t="n">
        <f aca="false">Portfolio!A27</f>
        <v>80</v>
      </c>
      <c r="B28" s="86" t="n">
        <f aca="false">Portfolio!B27</f>
        <v>932455.462898383</v>
      </c>
      <c r="C28" s="86" t="n">
        <f aca="false">Portfolio!C27</f>
        <v>5136356.39716449</v>
      </c>
      <c r="D28" s="86" t="n">
        <f aca="false">Portfolio!D27</f>
        <v>68484.7519621933</v>
      </c>
      <c r="E28" s="86" t="n">
        <f aca="false">Portfolio!E27</f>
        <v>342423.759810966</v>
      </c>
      <c r="F28" s="86" t="n">
        <f aca="false">Portfolio!F27</f>
        <v>962493.999267071</v>
      </c>
      <c r="G28" s="86" t="n">
        <f aca="false">Portfolio!G27</f>
        <v>3424237.59810966</v>
      </c>
      <c r="H28" s="86" t="n">
        <f aca="false">Portfolio!I27</f>
        <v>13167263.0364182</v>
      </c>
    </row>
    <row r="29" customFormat="false" ht="15" hidden="false" customHeight="false" outlineLevel="0" collapsed="false">
      <c r="A29" s="85" t="n">
        <f aca="false">Portfolio!A28</f>
        <v>81</v>
      </c>
      <c r="B29" s="86" t="n">
        <f aca="false">Portfolio!B28</f>
        <v>818651.249470843</v>
      </c>
      <c r="C29" s="86" t="n">
        <f aca="false">Portfolio!C28</f>
        <v>5547264.90893765</v>
      </c>
      <c r="D29" s="86" t="n">
        <f aca="false">Portfolio!D28</f>
        <v>73963.5321191687</v>
      </c>
      <c r="E29" s="86" t="n">
        <f aca="false">Portfolio!E28</f>
        <v>369817.660595844</v>
      </c>
      <c r="F29" s="86" t="n">
        <f aca="false">Portfolio!F28</f>
        <v>1034647.53762223</v>
      </c>
      <c r="G29" s="86" t="n">
        <f aca="false">Portfolio!G28</f>
        <v>3698176.60595844</v>
      </c>
      <c r="H29" s="86" t="n">
        <f aca="false">Portfolio!I28</f>
        <v>13946869.0599338</v>
      </c>
    </row>
    <row r="30" customFormat="false" ht="15" hidden="false" customHeight="false" outlineLevel="0" collapsed="false">
      <c r="A30" s="85" t="n">
        <f aca="false">Portfolio!A29</f>
        <v>82</v>
      </c>
      <c r="B30" s="86" t="n">
        <f aca="false">Portfolio!B29</f>
        <v>706278.180707614</v>
      </c>
      <c r="C30" s="86" t="n">
        <f aca="false">Portfolio!C29</f>
        <v>5991046.10165267</v>
      </c>
      <c r="D30" s="86" t="n">
        <f aca="false">Portfolio!D29</f>
        <v>79880.6146887023</v>
      </c>
      <c r="E30" s="86" t="n">
        <f aca="false">Portfolio!E29</f>
        <v>399403.073443511</v>
      </c>
      <c r="F30" s="86" t="n">
        <f aca="false">Portfolio!F29</f>
        <v>1112331.05996649</v>
      </c>
      <c r="G30" s="86" t="n">
        <f aca="false">Portfolio!G29</f>
        <v>3994030.73443511</v>
      </c>
      <c r="H30" s="86" t="n">
        <f aca="false">Portfolio!I29</f>
        <v>14795512.9705591</v>
      </c>
    </row>
    <row r="31" customFormat="false" ht="15" hidden="false" customHeight="false" outlineLevel="0" collapsed="false">
      <c r="A31" s="85" t="n">
        <f aca="false">Portfolio!A30</f>
        <v>83</v>
      </c>
      <c r="B31" s="86" t="n">
        <f aca="false">Portfolio!B30</f>
        <v>595372.035225304</v>
      </c>
      <c r="C31" s="86" t="n">
        <f aca="false">Portfolio!C30</f>
        <v>6470329.78978488</v>
      </c>
      <c r="D31" s="86" t="n">
        <f aca="false">Portfolio!D30</f>
        <v>86271.0638637984</v>
      </c>
      <c r="E31" s="86" t="n">
        <f aca="false">Portfolio!E30</f>
        <v>431355.319318992</v>
      </c>
      <c r="F31" s="86" t="n">
        <f aca="false">Portfolio!F30</f>
        <v>1195974.85006501</v>
      </c>
      <c r="G31" s="86" t="n">
        <f aca="false">Portfolio!G30</f>
        <v>4313553.19318992</v>
      </c>
      <c r="H31" s="86" t="n">
        <f aca="false">Portfolio!I30</f>
        <v>15718463.9013678</v>
      </c>
    </row>
    <row r="32" customFormat="false" ht="15" hidden="false" customHeight="false" outlineLevel="0" collapsed="false">
      <c r="A32" s="85" t="n">
        <f aca="false">Portfolio!A31</f>
        <v>84</v>
      </c>
      <c r="B32" s="86" t="n">
        <f aca="false">Portfolio!B31</f>
        <v>485969.486105936</v>
      </c>
      <c r="C32" s="86" t="n">
        <f aca="false">Portfolio!C31</f>
        <v>6987956.17296767</v>
      </c>
      <c r="D32" s="86" t="n">
        <f aca="false">Portfolio!D31</f>
        <v>93172.7489729023</v>
      </c>
      <c r="E32" s="86" t="n">
        <f aca="false">Portfolio!E31</f>
        <v>465863.744864511</v>
      </c>
      <c r="F32" s="86" t="n">
        <f aca="false">Portfolio!F31</f>
        <v>1286043.00863648</v>
      </c>
      <c r="G32" s="86" t="n">
        <f aca="false">Portfolio!G31</f>
        <v>4658637.44864512</v>
      </c>
      <c r="H32" s="86" t="n">
        <f aca="false">Portfolio!I31</f>
        <v>16721402.604359</v>
      </c>
    </row>
    <row r="33" customFormat="false" ht="15" hidden="false" customHeight="false" outlineLevel="0" collapsed="false">
      <c r="A33" s="85" t="n">
        <f aca="false">Portfolio!A32</f>
        <v>85</v>
      </c>
      <c r="B33" s="86" t="n">
        <f aca="false">Portfolio!B32</f>
        <v>378108.123258585</v>
      </c>
      <c r="C33" s="86" t="n">
        <f aca="false">Portfolio!C32</f>
        <v>7546992.66680509</v>
      </c>
      <c r="D33" s="86" t="n">
        <f aca="false">Portfolio!D32</f>
        <v>100626.568890735</v>
      </c>
      <c r="E33" s="86" t="n">
        <f aca="false">Portfolio!E32</f>
        <v>503132.844453672</v>
      </c>
      <c r="F33" s="86" t="n">
        <f aca="false">Portfolio!F32</f>
        <v>1383036.12842198</v>
      </c>
      <c r="G33" s="86" t="n">
        <f aca="false">Portfolio!G32</f>
        <v>5031328.44453672</v>
      </c>
      <c r="H33" s="86" t="n">
        <f aca="false">Portfolio!I32</f>
        <v>17810453.9702706</v>
      </c>
    </row>
    <row r="35" customFormat="false" ht="15" hidden="false" customHeight="false" outlineLevel="0" collapsed="false">
      <c r="A35" s="84" t="s">
        <v>60</v>
      </c>
      <c r="B35" s="84" t="s">
        <v>199</v>
      </c>
      <c r="C35" s="84" t="s">
        <v>200</v>
      </c>
      <c r="D35" s="84" t="s">
        <v>201</v>
      </c>
      <c r="E35" s="84" t="s">
        <v>202</v>
      </c>
      <c r="F35" s="84" t="s">
        <v>203</v>
      </c>
      <c r="G35" s="84" t="s">
        <v>204</v>
      </c>
      <c r="H35" s="84" t="s">
        <v>205</v>
      </c>
      <c r="I35" s="84" t="s">
        <v>206</v>
      </c>
      <c r="J35" s="84" t="s">
        <v>207</v>
      </c>
      <c r="K35" s="84" t="s">
        <v>208</v>
      </c>
    </row>
    <row r="36" customFormat="false" ht="15" hidden="false" customHeight="false" outlineLevel="0" collapsed="false">
      <c r="A36" s="85" t="n">
        <f aca="false">'Withdrawal Plan'!A3</f>
        <v>65</v>
      </c>
      <c r="B36" s="86" t="n">
        <f aca="false">'Withdrawal Plan'!H3</f>
        <v>0</v>
      </c>
      <c r="C36" s="86" t="n">
        <f aca="false">'Withdrawal Plan'!I3</f>
        <v>0</v>
      </c>
      <c r="D36" s="86" t="n">
        <f aca="false">'Withdrawal Plan'!J3</f>
        <v>171050</v>
      </c>
      <c r="E36" s="86" t="n">
        <f aca="false">'Withdrawal Plan'!K3</f>
        <v>0</v>
      </c>
      <c r="F36" s="86" t="n">
        <f aca="false">'Withdrawal Plan'!L3</f>
        <v>0</v>
      </c>
      <c r="G36" s="86" t="n">
        <f aca="false">B36+C36+D36+E36+F36</f>
        <v>171050</v>
      </c>
      <c r="H36" s="86" t="n">
        <f aca="false">'Withdrawal Plan'!G3</f>
        <v>148320</v>
      </c>
      <c r="I36" s="86" t="n">
        <f aca="false">'Withdrawal Plan'!N3</f>
        <v>27737</v>
      </c>
      <c r="J36" s="86" t="n">
        <f aca="false">'Withdrawal Plan'!O3</f>
        <v>10895.885</v>
      </c>
      <c r="K36" s="86" t="n">
        <f aca="false">'Withdrawal Plan'!P3</f>
        <v>-15902.885</v>
      </c>
    </row>
    <row r="37" customFormat="false" ht="15" hidden="false" customHeight="false" outlineLevel="0" collapsed="false">
      <c r="A37" s="85" t="n">
        <f aca="false">'Withdrawal Plan'!A4</f>
        <v>66</v>
      </c>
      <c r="B37" s="86" t="n">
        <f aca="false">'Withdrawal Plan'!H4</f>
        <v>0</v>
      </c>
      <c r="C37" s="86" t="n">
        <f aca="false">'Withdrawal Plan'!I4</f>
        <v>0</v>
      </c>
      <c r="D37" s="86" t="n">
        <f aca="false">'Withdrawal Plan'!J4</f>
        <v>171050</v>
      </c>
      <c r="E37" s="86" t="n">
        <f aca="false">'Withdrawal Plan'!K4</f>
        <v>0</v>
      </c>
      <c r="F37" s="86" t="n">
        <f aca="false">'Withdrawal Plan'!L4</f>
        <v>0</v>
      </c>
      <c r="G37" s="86" t="n">
        <f aca="false">B37+C37+D37+E37+F37</f>
        <v>171050</v>
      </c>
      <c r="H37" s="86" t="n">
        <f aca="false">'Withdrawal Plan'!G4</f>
        <v>150951</v>
      </c>
      <c r="I37" s="86" t="n">
        <f aca="false">'Withdrawal Plan'!N4</f>
        <v>27737</v>
      </c>
      <c r="J37" s="86" t="n">
        <f aca="false">'Withdrawal Plan'!O4</f>
        <v>10895.885</v>
      </c>
      <c r="K37" s="86" t="n">
        <f aca="false">'Withdrawal Plan'!P4</f>
        <v>-18533.885</v>
      </c>
    </row>
    <row r="38" customFormat="false" ht="15" hidden="false" customHeight="false" outlineLevel="0" collapsed="false">
      <c r="A38" s="85" t="n">
        <f aca="false">'Withdrawal Plan'!A5</f>
        <v>67</v>
      </c>
      <c r="B38" s="86" t="n">
        <f aca="false">'Withdrawal Plan'!H5</f>
        <v>47664</v>
      </c>
      <c r="C38" s="86" t="n">
        <f aca="false">'Withdrawal Plan'!I5</f>
        <v>0</v>
      </c>
      <c r="D38" s="86" t="n">
        <f aca="false">'Withdrawal Plan'!J5</f>
        <v>130535.6</v>
      </c>
      <c r="E38" s="86" t="n">
        <f aca="false">'Withdrawal Plan'!K5</f>
        <v>0</v>
      </c>
      <c r="F38" s="86" t="n">
        <f aca="false">'Withdrawal Plan'!L5</f>
        <v>0</v>
      </c>
      <c r="G38" s="86" t="n">
        <f aca="false">B38+C38+D38+E38+F38</f>
        <v>178199.6</v>
      </c>
      <c r="H38" s="86" t="n">
        <f aca="false">'Withdrawal Plan'!G5</f>
        <v>153663.15</v>
      </c>
      <c r="I38" s="86" t="n">
        <f aca="false">'Withdrawal Plan'!N5</f>
        <v>27737</v>
      </c>
      <c r="J38" s="86" t="n">
        <f aca="false">'Withdrawal Plan'!O5</f>
        <v>8315.11772</v>
      </c>
      <c r="K38" s="86" t="n">
        <f aca="false">'Withdrawal Plan'!P5</f>
        <v>-11515.66772</v>
      </c>
    </row>
    <row r="39" customFormat="false" ht="15" hidden="false" customHeight="false" outlineLevel="0" collapsed="false">
      <c r="A39" s="85" t="n">
        <f aca="false">'Withdrawal Plan'!A6</f>
        <v>68</v>
      </c>
      <c r="B39" s="86" t="n">
        <f aca="false">'Withdrawal Plan'!H6</f>
        <v>48855.6</v>
      </c>
      <c r="C39" s="86" t="n">
        <f aca="false">'Withdrawal Plan'!I6</f>
        <v>0</v>
      </c>
      <c r="D39" s="86" t="n">
        <f aca="false">'Withdrawal Plan'!J6</f>
        <v>129522.74</v>
      </c>
      <c r="E39" s="86" t="n">
        <f aca="false">'Withdrawal Plan'!K6</f>
        <v>0</v>
      </c>
      <c r="F39" s="86" t="n">
        <f aca="false">'Withdrawal Plan'!L6</f>
        <v>0</v>
      </c>
      <c r="G39" s="86" t="n">
        <f aca="false">B39+C39+D39+E39+F39</f>
        <v>178378.34</v>
      </c>
      <c r="H39" s="86" t="n">
        <f aca="false">'Withdrawal Plan'!G6</f>
        <v>156458.9955</v>
      </c>
      <c r="I39" s="86" t="n">
        <f aca="false">'Withdrawal Plan'!N6</f>
        <v>27737</v>
      </c>
      <c r="J39" s="86" t="n">
        <f aca="false">'Withdrawal Plan'!O6</f>
        <v>8250.598538</v>
      </c>
      <c r="K39" s="86" t="n">
        <f aca="false">'Withdrawal Plan'!P6</f>
        <v>-14068.254038</v>
      </c>
    </row>
    <row r="40" customFormat="false" ht="15" hidden="false" customHeight="false" outlineLevel="0" collapsed="false">
      <c r="A40" s="85" t="n">
        <f aca="false">'Withdrawal Plan'!A7</f>
        <v>69</v>
      </c>
      <c r="B40" s="86" t="n">
        <f aca="false">'Withdrawal Plan'!H7</f>
        <v>50076.99</v>
      </c>
      <c r="C40" s="86" t="n">
        <f aca="false">'Withdrawal Plan'!I7</f>
        <v>0</v>
      </c>
      <c r="D40" s="86" t="n">
        <f aca="false">'Withdrawal Plan'!J7</f>
        <v>128484.5585</v>
      </c>
      <c r="E40" s="86" t="n">
        <f aca="false">'Withdrawal Plan'!K7</f>
        <v>0</v>
      </c>
      <c r="F40" s="86" t="n">
        <f aca="false">'Withdrawal Plan'!L7</f>
        <v>0</v>
      </c>
      <c r="G40" s="86" t="n">
        <f aca="false">B40+C40+D40+E40+F40</f>
        <v>178561.5485</v>
      </c>
      <c r="H40" s="86" t="n">
        <f aca="false">'Withdrawal Plan'!G7</f>
        <v>159341.163915</v>
      </c>
      <c r="I40" s="86" t="n">
        <f aca="false">'Withdrawal Plan'!N7</f>
        <v>27737</v>
      </c>
      <c r="J40" s="86" t="n">
        <f aca="false">'Withdrawal Plan'!O7</f>
        <v>8184.46637645</v>
      </c>
      <c r="K40" s="86" t="n">
        <f aca="false">'Withdrawal Plan'!P7</f>
        <v>-16701.08179145</v>
      </c>
    </row>
    <row r="41" customFormat="false" ht="15" hidden="false" customHeight="false" outlineLevel="0" collapsed="false">
      <c r="A41" s="85" t="n">
        <f aca="false">'Withdrawal Plan'!A8</f>
        <v>70</v>
      </c>
      <c r="B41" s="86" t="n">
        <f aca="false">'Withdrawal Plan'!H8</f>
        <v>51328.91475</v>
      </c>
      <c r="C41" s="86" t="n">
        <f aca="false">'Withdrawal Plan'!I8</f>
        <v>23832</v>
      </c>
      <c r="D41" s="86" t="n">
        <f aca="false">'Withdrawal Plan'!J8</f>
        <v>127420.4224625</v>
      </c>
      <c r="E41" s="86" t="n">
        <f aca="false">'Withdrawal Plan'!K8</f>
        <v>0</v>
      </c>
      <c r="F41" s="86" t="n">
        <f aca="false">'Withdrawal Plan'!L8</f>
        <v>0</v>
      </c>
      <c r="G41" s="86" t="n">
        <f aca="false">B41+C41+D41+E41+F41</f>
        <v>202581.3372125</v>
      </c>
      <c r="H41" s="86" t="n">
        <f aca="false">'Withdrawal Plan'!G8</f>
        <v>152712.36730995</v>
      </c>
      <c r="I41" s="86" t="n">
        <f aca="false">'Withdrawal Plan'!N8</f>
        <v>27737</v>
      </c>
      <c r="J41" s="86" t="n">
        <f aca="false">'Withdrawal Plan'!O8</f>
        <v>8116.68091086125</v>
      </c>
      <c r="K41" s="86" t="n">
        <f aca="false">'Withdrawal Plan'!P8</f>
        <v>14015.2889916887</v>
      </c>
    </row>
    <row r="42" customFormat="false" ht="15" hidden="false" customHeight="false" outlineLevel="0" collapsed="false">
      <c r="A42" s="85" t="n">
        <f aca="false">'Withdrawal Plan'!A9</f>
        <v>71</v>
      </c>
      <c r="B42" s="86" t="n">
        <f aca="false">'Withdrawal Plan'!H9</f>
        <v>52612.13761875</v>
      </c>
      <c r="C42" s="86" t="n">
        <f aca="false">'Withdrawal Plan'!I9</f>
        <v>24427.8</v>
      </c>
      <c r="D42" s="86" t="n">
        <f aca="false">'Withdrawal Plan'!J9</f>
        <v>126329.683024063</v>
      </c>
      <c r="E42" s="86" t="n">
        <f aca="false">'Withdrawal Plan'!K9</f>
        <v>0</v>
      </c>
      <c r="F42" s="86" t="n">
        <f aca="false">'Withdrawal Plan'!L9</f>
        <v>0</v>
      </c>
      <c r="G42" s="86" t="n">
        <f aca="false">B42+C42+D42+E42+F42</f>
        <v>203369.620642813</v>
      </c>
      <c r="H42" s="86" t="n">
        <f aca="false">'Withdrawal Plan'!G9</f>
        <v>155775.405230624</v>
      </c>
      <c r="I42" s="86" t="n">
        <f aca="false">'Withdrawal Plan'!N9</f>
        <v>27737</v>
      </c>
      <c r="J42" s="86" t="n">
        <f aca="false">'Withdrawal Plan'!O9</f>
        <v>8047.20080863278</v>
      </c>
      <c r="K42" s="86" t="n">
        <f aca="false">'Withdrawal Plan'!P9</f>
        <v>11810.0146035562</v>
      </c>
    </row>
    <row r="43" customFormat="false" ht="15" hidden="false" customHeight="false" outlineLevel="0" collapsed="false">
      <c r="A43" s="85" t="n">
        <f aca="false">'Withdrawal Plan'!A10</f>
        <v>72</v>
      </c>
      <c r="B43" s="86" t="n">
        <f aca="false">'Withdrawal Plan'!H10</f>
        <v>53927.4410592187</v>
      </c>
      <c r="C43" s="86" t="n">
        <f aca="false">'Withdrawal Plan'!I10</f>
        <v>25038.495</v>
      </c>
      <c r="D43" s="86" t="n">
        <f aca="false">'Withdrawal Plan'!J10</f>
        <v>125211.675099664</v>
      </c>
      <c r="E43" s="86" t="n">
        <f aca="false">'Withdrawal Plan'!K10</f>
        <v>0</v>
      </c>
      <c r="F43" s="86" t="n">
        <f aca="false">'Withdrawal Plan'!L10</f>
        <v>0</v>
      </c>
      <c r="G43" s="86" t="n">
        <f aca="false">B43+C43+D43+E43+F43</f>
        <v>204177.611158883</v>
      </c>
      <c r="H43" s="86" t="n">
        <f aca="false">'Withdrawal Plan'!G10</f>
        <v>158933.167633986</v>
      </c>
      <c r="I43" s="86" t="n">
        <f aca="false">'Withdrawal Plan'!N10</f>
        <v>27737</v>
      </c>
      <c r="J43" s="86" t="n">
        <f aca="false">'Withdrawal Plan'!O10</f>
        <v>7975.9837038486</v>
      </c>
      <c r="K43" s="86" t="n">
        <f aca="false">'Withdrawal Plan'!P10</f>
        <v>9531.45982104821</v>
      </c>
    </row>
    <row r="44" customFormat="false" ht="15" hidden="false" customHeight="false" outlineLevel="0" collapsed="false">
      <c r="A44" s="85" t="n">
        <f aca="false">'Withdrawal Plan'!A11</f>
        <v>73</v>
      </c>
      <c r="B44" s="86" t="n">
        <f aca="false">'Withdrawal Plan'!H11</f>
        <v>55275.6270856992</v>
      </c>
      <c r="C44" s="86" t="n">
        <f aca="false">'Withdrawal Plan'!I11</f>
        <v>25664.457375</v>
      </c>
      <c r="D44" s="86" t="n">
        <f aca="false">'Withdrawal Plan'!J11</f>
        <v>124065.716977156</v>
      </c>
      <c r="E44" s="86" t="n">
        <f aca="false">'Withdrawal Plan'!K11</f>
        <v>0</v>
      </c>
      <c r="F44" s="86" t="n">
        <f aca="false">'Withdrawal Plan'!L11</f>
        <v>0</v>
      </c>
      <c r="G44" s="86" t="n">
        <f aca="false">B44+C44+D44+E44+F44</f>
        <v>205005.801437855</v>
      </c>
      <c r="H44" s="86" t="n">
        <f aca="false">'Withdrawal Plan'!G11</f>
        <v>162188.637921772</v>
      </c>
      <c r="I44" s="86" t="n">
        <f aca="false">'Withdrawal Plan'!N11</f>
        <v>27737</v>
      </c>
      <c r="J44" s="86" t="n">
        <f aca="false">'Withdrawal Plan'!O11</f>
        <v>7902.98617144482</v>
      </c>
      <c r="K44" s="86" t="n">
        <f aca="false">'Withdrawal Plan'!P11</f>
        <v>7177.17734463854</v>
      </c>
    </row>
    <row r="45" customFormat="false" ht="15" hidden="false" customHeight="false" outlineLevel="0" collapsed="false">
      <c r="A45" s="85" t="n">
        <f aca="false">'Withdrawal Plan'!A12</f>
        <v>74</v>
      </c>
      <c r="B45" s="86" t="n">
        <f aca="false">'Withdrawal Plan'!H12</f>
        <v>56657.5177628417</v>
      </c>
      <c r="C45" s="86" t="n">
        <f aca="false">'Withdrawal Plan'!I12</f>
        <v>26306.068809375</v>
      </c>
      <c r="D45" s="86" t="n">
        <f aca="false">'Withdrawal Plan'!J12</f>
        <v>122891.109901585</v>
      </c>
      <c r="E45" s="86" t="n">
        <f aca="false">'Withdrawal Plan'!K12</f>
        <v>0</v>
      </c>
      <c r="F45" s="86" t="n">
        <f aca="false">'Withdrawal Plan'!L12</f>
        <v>0</v>
      </c>
      <c r="G45" s="86" t="n">
        <f aca="false">B45+C45+D45+E45+F45</f>
        <v>205854.696473801</v>
      </c>
      <c r="H45" s="86" t="n">
        <f aca="false">'Withdrawal Plan'!G12</f>
        <v>165544.896081129</v>
      </c>
      <c r="I45" s="86" t="n">
        <f aca="false">'Withdrawal Plan'!N12</f>
        <v>27737</v>
      </c>
      <c r="J45" s="86" t="n">
        <f aca="false">'Withdrawal Plan'!O12</f>
        <v>7828.16370073094</v>
      </c>
      <c r="K45" s="86" t="n">
        <f aca="false">'Withdrawal Plan'!P12</f>
        <v>4744.63669194142</v>
      </c>
    </row>
    <row r="46" customFormat="false" ht="15" hidden="false" customHeight="false" outlineLevel="0" collapsed="false">
      <c r="A46" s="85" t="n">
        <f aca="false">'Withdrawal Plan'!A13</f>
        <v>75</v>
      </c>
      <c r="B46" s="86" t="n">
        <f aca="false">'Withdrawal Plan'!H13</f>
        <v>58073.9557069127</v>
      </c>
      <c r="C46" s="86" t="n">
        <f aca="false">'Withdrawal Plan'!I13</f>
        <v>26963.7205296094</v>
      </c>
      <c r="D46" s="86" t="n">
        <f aca="false">'Withdrawal Plan'!J13</f>
        <v>121687.137649124</v>
      </c>
      <c r="E46" s="86" t="n">
        <f aca="false">'Withdrawal Plan'!K13</f>
        <v>0</v>
      </c>
      <c r="F46" s="86" t="n">
        <f aca="false">'Withdrawal Plan'!L13</f>
        <v>0</v>
      </c>
      <c r="G46" s="86" t="n">
        <f aca="false">B46+C46+D46+E46+F46</f>
        <v>206724.813885646</v>
      </c>
      <c r="H46" s="86" t="n">
        <f aca="false">'Withdrawal Plan'!G13</f>
        <v>169005.121936352</v>
      </c>
      <c r="I46" s="86" t="n">
        <f aca="false">'Withdrawal Plan'!N13</f>
        <v>27737</v>
      </c>
      <c r="J46" s="86" t="n">
        <f aca="false">'Withdrawal Plan'!O13</f>
        <v>7751.47066824921</v>
      </c>
      <c r="K46" s="86" t="n">
        <f aca="false">'Withdrawal Plan'!P13</f>
        <v>2231.22128104485</v>
      </c>
    </row>
    <row r="47" customFormat="false" ht="15" hidden="false" customHeight="false" outlineLevel="0" collapsed="false">
      <c r="A47" s="85" t="n">
        <f aca="false">'Withdrawal Plan'!A14</f>
        <v>76</v>
      </c>
      <c r="B47" s="86" t="n">
        <f aca="false">'Withdrawal Plan'!H14</f>
        <v>59525.8045995855</v>
      </c>
      <c r="C47" s="86" t="n">
        <f aca="false">'Withdrawal Plan'!I14</f>
        <v>27637.8135428496</v>
      </c>
      <c r="D47" s="86" t="n">
        <f aca="false">'Withdrawal Plan'!J14</f>
        <v>120453.066090352</v>
      </c>
      <c r="E47" s="86" t="n">
        <f aca="false">'Withdrawal Plan'!K14</f>
        <v>0</v>
      </c>
      <c r="F47" s="86" t="n">
        <f aca="false">'Withdrawal Plan'!L14</f>
        <v>0</v>
      </c>
      <c r="G47" s="86" t="n">
        <f aca="false">B47+C47+D47+E47+F47</f>
        <v>207616.684232787</v>
      </c>
      <c r="H47" s="86" t="n">
        <f aca="false">'Withdrawal Plan'!G14</f>
        <v>172572.598515872</v>
      </c>
      <c r="I47" s="86" t="n">
        <f aca="false">'Withdrawal Plan'!N14</f>
        <v>27737</v>
      </c>
      <c r="J47" s="86" t="n">
        <f aca="false">'Withdrawal Plan'!O14</f>
        <v>7672.86030995544</v>
      </c>
      <c r="K47" s="86" t="n">
        <f aca="false">'Withdrawal Plan'!P14</f>
        <v>-365.774593039748</v>
      </c>
    </row>
    <row r="48" customFormat="false" ht="15" hidden="false" customHeight="false" outlineLevel="0" collapsed="false">
      <c r="A48" s="85" t="n">
        <f aca="false">'Withdrawal Plan'!A15</f>
        <v>77</v>
      </c>
      <c r="B48" s="86" t="n">
        <f aca="false">'Withdrawal Plan'!H15</f>
        <v>61013.9497145751</v>
      </c>
      <c r="C48" s="86" t="n">
        <f aca="false">'Withdrawal Plan'!I15</f>
        <v>28328.7588814208</v>
      </c>
      <c r="D48" s="86" t="n">
        <f aca="false">'Withdrawal Plan'!J15</f>
        <v>119188.142742611</v>
      </c>
      <c r="E48" s="86" t="n">
        <f aca="false">'Withdrawal Plan'!K15</f>
        <v>0</v>
      </c>
      <c r="F48" s="86" t="n">
        <f aca="false">'Withdrawal Plan'!L15</f>
        <v>0</v>
      </c>
      <c r="G48" s="86" t="n">
        <f aca="false">B48+C48+D48+E48+F48</f>
        <v>208530.851338607</v>
      </c>
      <c r="H48" s="86" t="n">
        <f aca="false">'Withdrawal Plan'!G15</f>
        <v>176250.715538848</v>
      </c>
      <c r="I48" s="86" t="n">
        <f aca="false">'Withdrawal Plan'!N15</f>
        <v>27737</v>
      </c>
      <c r="J48" s="86" t="n">
        <f aca="false">'Withdrawal Plan'!O15</f>
        <v>7592.28469270433</v>
      </c>
      <c r="K48" s="86" t="n">
        <f aca="false">'Withdrawal Plan'!P15</f>
        <v>-3049.14889294547</v>
      </c>
    </row>
    <row r="49" customFormat="false" ht="15" hidden="false" customHeight="false" outlineLevel="0" collapsed="false">
      <c r="A49" s="85" t="n">
        <f aca="false">'Withdrawal Plan'!A16</f>
        <v>78</v>
      </c>
      <c r="B49" s="86" t="n">
        <f aca="false">'Withdrawal Plan'!H16</f>
        <v>62539.2984574395</v>
      </c>
      <c r="C49" s="86" t="n">
        <f aca="false">'Withdrawal Plan'!I16</f>
        <v>29036.9778534564</v>
      </c>
      <c r="D49" s="86" t="n">
        <f aca="false">'Withdrawal Plan'!J16</f>
        <v>117891.596311176</v>
      </c>
      <c r="E49" s="86" t="n">
        <f aca="false">'Withdrawal Plan'!K16</f>
        <v>0</v>
      </c>
      <c r="F49" s="86" t="n">
        <f aca="false">'Withdrawal Plan'!L16</f>
        <v>0</v>
      </c>
      <c r="G49" s="86" t="n">
        <f aca="false">B49+C49+D49+E49+F49</f>
        <v>209467.872622072</v>
      </c>
      <c r="H49" s="86" t="n">
        <f aca="false">'Withdrawal Plan'!G16</f>
        <v>144042.973025889</v>
      </c>
      <c r="I49" s="86" t="n">
        <f aca="false">'Withdrawal Plan'!N16</f>
        <v>27737</v>
      </c>
      <c r="J49" s="86" t="n">
        <f aca="false">'Withdrawal Plan'!O16</f>
        <v>7509.69468502194</v>
      </c>
      <c r="K49" s="86" t="n">
        <f aca="false">'Withdrawal Plan'!P16</f>
        <v>30178.2049111613</v>
      </c>
    </row>
    <row r="50" customFormat="false" ht="15" hidden="false" customHeight="false" outlineLevel="0" collapsed="false">
      <c r="A50" s="85" t="n">
        <f aca="false">'Withdrawal Plan'!A17</f>
        <v>79</v>
      </c>
      <c r="B50" s="86" t="n">
        <f aca="false">'Withdrawal Plan'!H17</f>
        <v>64102.7809188755</v>
      </c>
      <c r="C50" s="86" t="n">
        <f aca="false">'Withdrawal Plan'!I17</f>
        <v>29762.9022997928</v>
      </c>
      <c r="D50" s="86" t="n">
        <f aca="false">'Withdrawal Plan'!J17</f>
        <v>116562.636218956</v>
      </c>
      <c r="E50" s="86" t="n">
        <f aca="false">'Withdrawal Plan'!K17</f>
        <v>0</v>
      </c>
      <c r="F50" s="86" t="n">
        <f aca="false">'Withdrawal Plan'!L17</f>
        <v>0</v>
      </c>
      <c r="G50" s="86" t="n">
        <f aca="false">B50+C50+D50+E50+F50</f>
        <v>210428.319437624</v>
      </c>
      <c r="H50" s="86" t="n">
        <f aca="false">'Withdrawal Plan'!G17</f>
        <v>147952.985038585</v>
      </c>
      <c r="I50" s="86" t="n">
        <f aca="false">'Withdrawal Plan'!N17</f>
        <v>27737</v>
      </c>
      <c r="J50" s="86" t="n">
        <f aca="false">'Withdrawal Plan'!O17</f>
        <v>7425.03992714749</v>
      </c>
      <c r="K50" s="86" t="n">
        <f aca="false">'Withdrawal Plan'!P17</f>
        <v>27313.2944718917</v>
      </c>
    </row>
    <row r="51" customFormat="false" ht="15" hidden="false" customHeight="false" outlineLevel="0" collapsed="false">
      <c r="A51" s="85" t="n">
        <f aca="false">'Withdrawal Plan'!A18</f>
        <v>80</v>
      </c>
      <c r="B51" s="86" t="n">
        <f aca="false">'Withdrawal Plan'!H18</f>
        <v>65705.3504418474</v>
      </c>
      <c r="C51" s="86" t="n">
        <f aca="false">'Withdrawal Plan'!I18</f>
        <v>30506.9748572876</v>
      </c>
      <c r="D51" s="86" t="n">
        <f aca="false">'Withdrawal Plan'!J18</f>
        <v>115200.45212443</v>
      </c>
      <c r="E51" s="86" t="n">
        <f aca="false">'Withdrawal Plan'!K18</f>
        <v>0</v>
      </c>
      <c r="F51" s="86" t="n">
        <f aca="false">'Withdrawal Plan'!L18</f>
        <v>0</v>
      </c>
      <c r="G51" s="86" t="n">
        <f aca="false">B51+C51+D51+E51+F51</f>
        <v>211412.777423565</v>
      </c>
      <c r="H51" s="86" t="n">
        <f aca="false">'Withdrawal Plan'!G18</f>
        <v>151984.483552758</v>
      </c>
      <c r="I51" s="86" t="n">
        <f aca="false">'Withdrawal Plan'!N18</f>
        <v>27737</v>
      </c>
      <c r="J51" s="86" t="n">
        <f aca="false">'Withdrawal Plan'!O18</f>
        <v>7338.26880032618</v>
      </c>
      <c r="K51" s="86" t="n">
        <f aca="false">'Withdrawal Plan'!P18</f>
        <v>24353.025070481</v>
      </c>
    </row>
    <row r="52" customFormat="false" ht="15" hidden="false" customHeight="false" outlineLevel="0" collapsed="false">
      <c r="A52" s="85" t="n">
        <f aca="false">'Withdrawal Plan'!A19</f>
        <v>81</v>
      </c>
      <c r="B52" s="86" t="n">
        <f aca="false">'Withdrawal Plan'!H19</f>
        <v>67347.9842028936</v>
      </c>
      <c r="C52" s="86" t="n">
        <f aca="false">'Withdrawal Plan'!I19</f>
        <v>31269.6492287198</v>
      </c>
      <c r="D52" s="86" t="n">
        <f aca="false">'Withdrawal Plan'!J19</f>
        <v>113804.21342754</v>
      </c>
      <c r="E52" s="86" t="n">
        <f aca="false">'Withdrawal Plan'!K19</f>
        <v>0</v>
      </c>
      <c r="F52" s="86" t="n">
        <f aca="false">'Withdrawal Plan'!L19</f>
        <v>0</v>
      </c>
      <c r="G52" s="86" t="n">
        <f aca="false">B52+C52+D52+E52+F52</f>
        <v>212421.846859154</v>
      </c>
      <c r="H52" s="86" t="n">
        <f aca="false">'Withdrawal Plan'!G19</f>
        <v>156141.322470506</v>
      </c>
      <c r="I52" s="86" t="n">
        <f aca="false">'Withdrawal Plan'!N19</f>
        <v>27737</v>
      </c>
      <c r="J52" s="86" t="n">
        <f aca="false">'Withdrawal Plan'!O19</f>
        <v>7249.32839533433</v>
      </c>
      <c r="K52" s="86" t="n">
        <f aca="false">'Withdrawal Plan'!P19</f>
        <v>21294.1959933134</v>
      </c>
    </row>
    <row r="53" customFormat="false" ht="15" hidden="false" customHeight="false" outlineLevel="0" collapsed="false">
      <c r="A53" s="85" t="n">
        <f aca="false">'Withdrawal Plan'!A20</f>
        <v>82</v>
      </c>
      <c r="B53" s="86" t="n">
        <f aca="false">'Withdrawal Plan'!H20</f>
        <v>69031.6838079659</v>
      </c>
      <c r="C53" s="86" t="n">
        <f aca="false">'Withdrawal Plan'!I20</f>
        <v>32051.3904594378</v>
      </c>
      <c r="D53" s="86" t="n">
        <f aca="false">'Withdrawal Plan'!J20</f>
        <v>112373.068763229</v>
      </c>
      <c r="E53" s="86" t="n">
        <f aca="false">'Withdrawal Plan'!K20</f>
        <v>0</v>
      </c>
      <c r="F53" s="86" t="n">
        <f aca="false">'Withdrawal Plan'!L20</f>
        <v>0</v>
      </c>
      <c r="G53" s="86" t="n">
        <f aca="false">B53+C53+D53+E53+F53</f>
        <v>213456.143030633</v>
      </c>
      <c r="H53" s="86" t="n">
        <f aca="false">'Withdrawal Plan'!G20</f>
        <v>160427.481776345</v>
      </c>
      <c r="I53" s="86" t="n">
        <f aca="false">'Withdrawal Plan'!N20</f>
        <v>27737</v>
      </c>
      <c r="J53" s="86" t="n">
        <f aca="false">'Withdrawal Plan'!O20</f>
        <v>7158.16448021769</v>
      </c>
      <c r="K53" s="86" t="n">
        <f aca="false">'Withdrawal Plan'!P20</f>
        <v>18133.4967740695</v>
      </c>
    </row>
    <row r="54" customFormat="false" ht="15" hidden="false" customHeight="false" outlineLevel="0" collapsed="false">
      <c r="A54" s="85" t="n">
        <f aca="false">'Withdrawal Plan'!A21</f>
        <v>83</v>
      </c>
      <c r="B54" s="86" t="n">
        <f aca="false">'Withdrawal Plan'!H21</f>
        <v>70757.475903165</v>
      </c>
      <c r="C54" s="86" t="n">
        <f aca="false">'Withdrawal Plan'!I21</f>
        <v>32852.6752209237</v>
      </c>
      <c r="D54" s="86" t="n">
        <f aca="false">'Withdrawal Plan'!J21</f>
        <v>110906.14548231</v>
      </c>
      <c r="E54" s="86" t="n">
        <f aca="false">'Withdrawal Plan'!K21</f>
        <v>0</v>
      </c>
      <c r="F54" s="86" t="n">
        <f aca="false">'Withdrawal Plan'!L21</f>
        <v>0</v>
      </c>
      <c r="G54" s="86" t="n">
        <f aca="false">B54+C54+D54+E54+F54</f>
        <v>214516.296606398</v>
      </c>
      <c r="H54" s="86" t="n">
        <f aca="false">'Withdrawal Plan'!G21</f>
        <v>164847.071842946</v>
      </c>
      <c r="I54" s="86" t="n">
        <f aca="false">'Withdrawal Plan'!N21</f>
        <v>27737</v>
      </c>
      <c r="J54" s="86" t="n">
        <f aca="false">'Withdrawal Plan'!O21</f>
        <v>7064.72146722313</v>
      </c>
      <c r="K54" s="86" t="n">
        <f aca="false">'Withdrawal Plan'!P21</f>
        <v>14867.5032962291</v>
      </c>
    </row>
    <row r="55" customFormat="false" ht="15" hidden="false" customHeight="false" outlineLevel="0" collapsed="false">
      <c r="A55" s="85" t="n">
        <f aca="false">'Withdrawal Plan'!A22</f>
        <v>84</v>
      </c>
      <c r="B55" s="86" t="n">
        <f aca="false">'Withdrawal Plan'!H22</f>
        <v>72526.4128007442</v>
      </c>
      <c r="C55" s="86" t="n">
        <f aca="false">'Withdrawal Plan'!I22</f>
        <v>33673.9921014468</v>
      </c>
      <c r="D55" s="86" t="n">
        <f aca="false">'Withdrawal Plan'!J22</f>
        <v>109402.549119367</v>
      </c>
      <c r="E55" s="86" t="n">
        <f aca="false">'Withdrawal Plan'!K22</f>
        <v>0</v>
      </c>
      <c r="F55" s="86" t="n">
        <f aca="false">'Withdrawal Plan'!L22</f>
        <v>0</v>
      </c>
      <c r="G55" s="86" t="n">
        <f aca="false">B55+C55+D55+E55+F55</f>
        <v>215602.954021558</v>
      </c>
      <c r="H55" s="86" t="n">
        <f aca="false">'Withdrawal Plan'!G22</f>
        <v>169404.33789221</v>
      </c>
      <c r="I55" s="86" t="n">
        <f aca="false">'Withdrawal Plan'!N22</f>
        <v>27737</v>
      </c>
      <c r="J55" s="86" t="n">
        <f aca="false">'Withdrawal Plan'!O22</f>
        <v>6968.94237890371</v>
      </c>
      <c r="K55" s="86" t="n">
        <f aca="false">'Withdrawal Plan'!P22</f>
        <v>11492.6737504442</v>
      </c>
    </row>
    <row r="56" customFormat="false" ht="15" hidden="false" customHeight="false" outlineLevel="0" collapsed="false">
      <c r="A56" s="85" t="n">
        <f aca="false">'Withdrawal Plan'!A23</f>
        <v>85</v>
      </c>
      <c r="B56" s="86" t="n">
        <f aca="false">'Withdrawal Plan'!H23</f>
        <v>74339.5731207628</v>
      </c>
      <c r="C56" s="86" t="n">
        <f aca="false">'Withdrawal Plan'!I23</f>
        <v>34515.8419039829</v>
      </c>
      <c r="D56" s="86" t="n">
        <f aca="false">'Withdrawal Plan'!J23</f>
        <v>107861.362847352</v>
      </c>
      <c r="E56" s="86" t="n">
        <f aca="false">'Withdrawal Plan'!K23</f>
        <v>0</v>
      </c>
      <c r="F56" s="86" t="n">
        <f aca="false">'Withdrawal Plan'!L23</f>
        <v>0</v>
      </c>
      <c r="G56" s="86" t="n">
        <f aca="false">B56+C56+D56+E56+F56</f>
        <v>216716.777872097</v>
      </c>
      <c r="H56" s="86" t="n">
        <f aca="false">'Withdrawal Plan'!G23</f>
        <v>174103.664617651</v>
      </c>
      <c r="I56" s="86" t="n">
        <f aca="false">'Withdrawal Plan'!N23</f>
        <v>27737</v>
      </c>
      <c r="J56" s="86" t="n">
        <f aca="false">'Withdrawal Plan'!O23</f>
        <v>6870.7688133763</v>
      </c>
      <c r="K56" s="86" t="n">
        <f aca="false">'Withdrawal Plan'!P23</f>
        <v>8005.34444106957</v>
      </c>
    </row>
    <row r="58" customFormat="false" ht="15" hidden="false" customHeight="false" outlineLevel="0" collapsed="false">
      <c r="A58" s="84" t="s">
        <v>60</v>
      </c>
      <c r="B58" s="84" t="s">
        <v>124</v>
      </c>
      <c r="C58" s="84" t="s">
        <v>126</v>
      </c>
      <c r="D58" s="84" t="s">
        <v>127</v>
      </c>
      <c r="E58" s="84" t="s">
        <v>209</v>
      </c>
      <c r="F58" s="84" t="s">
        <v>210</v>
      </c>
    </row>
    <row r="59" customFormat="false" ht="15" hidden="false" customHeight="false" outlineLevel="0" collapsed="false">
      <c r="A59" s="85" t="n">
        <f aca="false">'Stress Test'!A4</f>
        <v>65</v>
      </c>
      <c r="B59" s="86" t="n">
        <f aca="false">'Stress Test'!C4</f>
        <v>9132439.10407305</v>
      </c>
      <c r="C59" s="86" t="n">
        <f aca="false">'Stress Test'!E4</f>
        <v>9490350.99269125</v>
      </c>
      <c r="D59" s="86" t="n">
        <f aca="false">'Stress Test'!F4</f>
        <v>9669306.93700034</v>
      </c>
      <c r="E59" s="87" t="n">
        <f aca="false">IFERROR(('Withdrawal Plan'!J3+'Withdrawal Plan'!K3+'Withdrawal Plan'!L3+'Withdrawal Plan'!M3)/Portfolio!H12*100,0)</f>
        <v>2.89394044196095</v>
      </c>
      <c r="F59" s="87" t="n">
        <v>4</v>
      </c>
    </row>
    <row r="60" customFormat="false" ht="15" hidden="false" customHeight="false" outlineLevel="0" collapsed="false">
      <c r="A60" s="85" t="n">
        <f aca="false">'Stress Test'!A5</f>
        <v>66</v>
      </c>
      <c r="B60" s="86" t="n">
        <f aca="false">'Stress Test'!C5</f>
        <v>9324355.66823597</v>
      </c>
      <c r="C60" s="86" t="n">
        <f aca="false">'Stress Test'!E5</f>
        <v>10076198.0721065</v>
      </c>
      <c r="D60" s="86" t="n">
        <f aca="false">'Stress Test'!F5</f>
        <v>10462856.6307004</v>
      </c>
      <c r="E60" s="87" t="n">
        <f aca="false">IFERROR(('Withdrawal Plan'!J4+'Withdrawal Plan'!K4+'Withdrawal Plan'!L4+'Withdrawal Plan'!M4)/Portfolio!H13*100,0)</f>
        <v>2.85794669385908</v>
      </c>
      <c r="F60" s="87" t="n">
        <v>4</v>
      </c>
    </row>
    <row r="61" customFormat="false" ht="15" hidden="false" customHeight="false" outlineLevel="0" collapsed="false">
      <c r="A61" s="85" t="n">
        <f aca="false">'Stress Test'!A6</f>
        <v>67</v>
      </c>
      <c r="B61" s="86" t="n">
        <f aca="false">'Stress Test'!C6</f>
        <v>9564346.74496541</v>
      </c>
      <c r="C61" s="86" t="n">
        <f aca="false">'Stress Test'!E6</f>
        <v>10749310.7678751</v>
      </c>
      <c r="D61" s="86" t="n">
        <f aca="false">'Stress Test'!F6</f>
        <v>11376159.1437704</v>
      </c>
      <c r="E61" s="87" t="n">
        <f aca="false">IFERROR(('Withdrawal Plan'!J5+'Withdrawal Plan'!K5+'Withdrawal Plan'!L5+'Withdrawal Plan'!M5)/Portfolio!H14*100,0)</f>
        <v>2.14269729372886</v>
      </c>
      <c r="F61" s="87" t="n">
        <v>4</v>
      </c>
    </row>
    <row r="62" customFormat="false" ht="15" hidden="false" customHeight="false" outlineLevel="0" collapsed="false">
      <c r="A62" s="85" t="n">
        <f aca="false">'Stress Test'!A7</f>
        <v>68</v>
      </c>
      <c r="B62" s="86" t="n">
        <f aca="false">'Stress Test'!C7</f>
        <v>9814827.94726403</v>
      </c>
      <c r="C62" s="86" t="n">
        <f aca="false">'Stress Test'!E7</f>
        <v>11477162.9618051</v>
      </c>
      <c r="D62" s="86" t="n">
        <f aca="false">'Stress Test'!F7</f>
        <v>12381682.3906475</v>
      </c>
      <c r="E62" s="87" t="n">
        <f aca="false">IFERROR(('Withdrawal Plan'!J6+'Withdrawal Plan'!K6+'Withdrawal Plan'!L6+'Withdrawal Plan'!M6)/Portfolio!H15*100,0)</f>
        <v>2.07413421408362</v>
      </c>
      <c r="F62" s="87" t="n">
        <v>4</v>
      </c>
    </row>
    <row r="63" customFormat="false" ht="15" hidden="false" customHeight="false" outlineLevel="0" collapsed="false">
      <c r="A63" s="85" t="n">
        <f aca="false">'Stress Test'!A8</f>
        <v>69</v>
      </c>
      <c r="B63" s="86" t="n">
        <f aca="false">'Stress Test'!C8</f>
        <v>10076238.0827796</v>
      </c>
      <c r="C63" s="86" t="n">
        <f aca="false">'Stress Test'!E8</f>
        <v>12264153.0163745</v>
      </c>
      <c r="D63" s="86" t="n">
        <f aca="false">'Stress Test'!F8</f>
        <v>13488667.6473372</v>
      </c>
      <c r="E63" s="87" t="n">
        <f aca="false">IFERROR(('Withdrawal Plan'!J7+'Withdrawal Plan'!K7+'Withdrawal Plan'!L7+'Withdrawal Plan'!M7)/Portfolio!H16*100,0)</f>
        <v>2.00125246142858</v>
      </c>
      <c r="F63" s="87" t="n">
        <v>4</v>
      </c>
    </row>
    <row r="64" customFormat="false" ht="15" hidden="false" customHeight="false" outlineLevel="0" collapsed="false">
      <c r="A64" s="85" t="n">
        <f aca="false">'Stress Test'!A9</f>
        <v>70</v>
      </c>
      <c r="B64" s="86" t="n">
        <f aca="false">'Stress Test'!C9</f>
        <v>10349033.8385595</v>
      </c>
      <c r="C64" s="86" t="n">
        <f aca="false">'Stress Test'!E9</f>
        <v>13115031.4901532</v>
      </c>
      <c r="D64" s="86" t="n">
        <f aca="false">'Stress Test'!F9</f>
        <v>14707280.6445397</v>
      </c>
      <c r="E64" s="87" t="n">
        <f aca="false">IFERROR(('Withdrawal Plan'!J8+'Withdrawal Plan'!K8+'Withdrawal Plan'!L8+'Withdrawal Plan'!M8)/Portfolio!H17*100,0)</f>
        <v>1.92465415799426</v>
      </c>
      <c r="F64" s="87" t="n">
        <v>4</v>
      </c>
    </row>
    <row r="65" customFormat="false" ht="15" hidden="false" customHeight="false" outlineLevel="0" collapsed="false">
      <c r="A65" s="85" t="n">
        <f aca="false">'Stress Test'!A10</f>
        <v>71</v>
      </c>
      <c r="B65" s="86" t="n">
        <f aca="false">'Stress Test'!C10</f>
        <v>10633690.4967557</v>
      </c>
      <c r="C65" s="86" t="n">
        <f aca="false">'Stress Test'!E10</f>
        <v>14034929.3140192</v>
      </c>
      <c r="D65" s="86" t="n">
        <f aca="false">'Stress Test'!F10</f>
        <v>16048704.0136474</v>
      </c>
      <c r="E65" s="87" t="n">
        <f aca="false">IFERROR(('Withdrawal Plan'!J9+'Withdrawal Plan'!K9+'Withdrawal Plan'!L9+'Withdrawal Plan'!M9)/Portfolio!H18*100,0)</f>
        <v>1.84499663787272</v>
      </c>
      <c r="F65" s="87" t="n">
        <v>4</v>
      </c>
    </row>
    <row r="66" customFormat="false" ht="15" hidden="false" customHeight="false" outlineLevel="0" collapsed="false">
      <c r="A66" s="85" t="n">
        <f aca="false">'Stress Test'!A11</f>
        <v>72</v>
      </c>
      <c r="B66" s="86" t="n">
        <f aca="false">'Stress Test'!C11</f>
        <v>10930702.6785879</v>
      </c>
      <c r="C66" s="86" t="n">
        <f aca="false">'Stress Test'!E11</f>
        <v>15029388.2211028</v>
      </c>
      <c r="D66" s="86" t="n">
        <f aca="false">'Stress Test'!F11</f>
        <v>17525238.9769742</v>
      </c>
      <c r="E66" s="87" t="n">
        <f aca="false">IFERROR(('Withdrawal Plan'!J10+'Withdrawal Plan'!K10+'Withdrawal Plan'!L10+'Withdrawal Plan'!M10)/Portfolio!H19*100,0)</f>
        <v>1.76297410735805</v>
      </c>
      <c r="F66" s="87" t="n">
        <v>4</v>
      </c>
    </row>
    <row r="67" customFormat="false" ht="15" hidden="false" customHeight="false" outlineLevel="0" collapsed="false">
      <c r="A67" s="85" t="n">
        <f aca="false">'Stress Test'!A12</f>
        <v>73</v>
      </c>
      <c r="B67" s="86" t="n">
        <f aca="false">'Stress Test'!C12</f>
        <v>11240585.1176691</v>
      </c>
      <c r="C67" s="86" t="n">
        <f aca="false">'Stress Test'!E12</f>
        <v>16104393.6107286</v>
      </c>
      <c r="D67" s="86" t="n">
        <f aca="false">'Stress Test'!F12</f>
        <v>19150417.2066092</v>
      </c>
      <c r="E67" s="87" t="n">
        <f aca="false">IFERROR(('Withdrawal Plan'!J11+'Withdrawal Plan'!K11+'Withdrawal Plan'!L11+'Withdrawal Plan'!M11)/Portfolio!H20*100,0)</f>
        <v>1.67929830174105</v>
      </c>
      <c r="F67" s="87" t="n">
        <v>4</v>
      </c>
    </row>
    <row r="68" customFormat="false" ht="15" hidden="false" customHeight="false" outlineLevel="0" collapsed="false">
      <c r="A68" s="85" t="n">
        <f aca="false">'Stress Test'!A13</f>
        <v>74</v>
      </c>
      <c r="B68" s="86" t="n">
        <f aca="false">'Stress Test'!C13</f>
        <v>11563873.4638348</v>
      </c>
      <c r="C68" s="86" t="n">
        <f aca="false">'Stress Test'!E13</f>
        <v>17266410.0410459</v>
      </c>
      <c r="D68" s="86" t="n">
        <f aca="false">'Stress Test'!F13</f>
        <v>20939123.8687291</v>
      </c>
      <c r="E68" s="87" t="n">
        <f aca="false">IFERROR(('Withdrawal Plan'!J12+'Withdrawal Plan'!K12+'Withdrawal Plan'!L12+'Withdrawal Plan'!M12)/Portfolio!H21*100,0)</f>
        <v>1.59467923394917</v>
      </c>
      <c r="F68" s="87" t="n">
        <v>4</v>
      </c>
    </row>
    <row r="69" customFormat="false" ht="15" hidden="false" customHeight="false" outlineLevel="0" collapsed="false">
      <c r="A69" s="85" t="n">
        <f aca="false">'Stress Test'!A14</f>
        <v>75</v>
      </c>
      <c r="B69" s="86" t="n">
        <f aca="false">'Stress Test'!C14</f>
        <v>11901125.1186676</v>
      </c>
      <c r="C69" s="86" t="n">
        <f aca="false">'Stress Test'!E14</f>
        <v>18522419.560609</v>
      </c>
      <c r="D69" s="86" t="n">
        <f aca="false">'Stress Test'!F14</f>
        <v>22907732.9718814</v>
      </c>
      <c r="E69" s="87" t="n">
        <f aca="false">IFERROR(('Withdrawal Plan'!J13+'Withdrawal Plan'!K13+'Withdrawal Plan'!L13+'Withdrawal Plan'!M13)/Portfolio!H22*100,0)</f>
        <v>1.50980706631961</v>
      </c>
      <c r="F69" s="87" t="n">
        <v>4</v>
      </c>
    </row>
    <row r="70" customFormat="false" ht="15" hidden="false" customHeight="false" outlineLevel="0" collapsed="false">
      <c r="A70" s="85" t="n">
        <f aca="false">'Stress Test'!A15</f>
        <v>76</v>
      </c>
      <c r="B70" s="86" t="n">
        <f aca="false">'Stress Test'!C15</f>
        <v>12252920.1039489</v>
      </c>
      <c r="C70" s="86" t="n">
        <f aca="false">'Stress Test'!E15</f>
        <v>19879963.1059923</v>
      </c>
      <c r="D70" s="86" t="n">
        <f aca="false">'Stress Test'!F15</f>
        <v>25074256.2496042</v>
      </c>
      <c r="E70" s="87" t="n">
        <f aca="false">IFERROR(('Withdrawal Plan'!J14+'Withdrawal Plan'!K14+'Withdrawal Plan'!L14+'Withdrawal Plan'!M14)/Portfolio!H23*100,0)</f>
        <v>1.4253359836682</v>
      </c>
      <c r="F70" s="87" t="n">
        <v>4</v>
      </c>
    </row>
    <row r="71" customFormat="false" ht="15" hidden="false" customHeight="false" outlineLevel="0" collapsed="false">
      <c r="A71" s="85" t="n">
        <f aca="false">'Stress Test'!A16</f>
        <v>77</v>
      </c>
      <c r="B71" s="86" t="n">
        <f aca="false">'Stress Test'!C16</f>
        <v>12619861.9643205</v>
      </c>
      <c r="C71" s="86" t="n">
        <f aca="false">'Stress Test'!E16</f>
        <v>21347185.2106853</v>
      </c>
      <c r="D71" s="86" t="n">
        <f aca="false">'Stress Test'!F16</f>
        <v>27458506.9307783</v>
      </c>
      <c r="E71" s="87" t="n">
        <f aca="false">IFERROR(('Withdrawal Plan'!J15+'Withdrawal Plan'!K15+'Withdrawal Plan'!L15+'Withdrawal Plan'!M15)/Portfolio!H24*100,0)</f>
        <v>1.34187072849199</v>
      </c>
      <c r="F71" s="87" t="n">
        <v>4</v>
      </c>
    </row>
    <row r="72" customFormat="false" ht="15" hidden="false" customHeight="false" outlineLevel="0" collapsed="false">
      <c r="A72" s="85" t="n">
        <f aca="false">'Stress Test'!A17</f>
        <v>78</v>
      </c>
      <c r="B72" s="86" t="n">
        <f aca="false">'Stress Test'!C17</f>
        <v>13002578.7054862</v>
      </c>
      <c r="C72" s="86" t="n">
        <f aca="false">'Stress Test'!E17</f>
        <v>22932882.290133</v>
      </c>
      <c r="D72" s="86" t="n">
        <f aca="false">'Stress Test'!F17</f>
        <v>30082279.8864489</v>
      </c>
      <c r="E72" s="87" t="n">
        <f aca="false">IFERROR(('Withdrawal Plan'!J16+'Withdrawal Plan'!K16+'Withdrawal Plan'!L16+'Withdrawal Plan'!M16)/Portfolio!H25*100,0)</f>
        <v>1.25995620828742</v>
      </c>
      <c r="F72" s="87" t="n">
        <v>4</v>
      </c>
    </row>
    <row r="73" customFormat="false" ht="15" hidden="false" customHeight="false" outlineLevel="0" collapsed="false">
      <c r="A73" s="85" t="n">
        <f aca="false">'Stress Test'!A18</f>
        <v>79</v>
      </c>
      <c r="B73" s="86" t="n">
        <f aca="false">'Stress Test'!C18</f>
        <v>13401723.7693359</v>
      </c>
      <c r="C73" s="86" t="n">
        <f aca="false">'Stress Test'!E18</f>
        <v>24646554.7889739</v>
      </c>
      <c r="D73" s="86" t="n">
        <f aca="false">'Stress Test'!F18</f>
        <v>32969549.7907241</v>
      </c>
      <c r="E73" s="87" t="n">
        <f aca="false">IFERROR(('Withdrawal Plan'!J17+'Withdrawal Plan'!K17+'Withdrawal Plan'!L17+'Withdrawal Plan'!M17)/Portfolio!H26*100,0)</f>
        <v>1.18007033156995</v>
      </c>
      <c r="F73" s="87" t="n">
        <v>4</v>
      </c>
    </row>
    <row r="74" customFormat="false" ht="15" hidden="false" customHeight="false" outlineLevel="0" collapsed="false">
      <c r="A74" s="85" t="n">
        <f aca="false">'Stress Test'!A19</f>
        <v>80</v>
      </c>
      <c r="B74" s="86" t="n">
        <f aca="false">'Stress Test'!C19</f>
        <v>13817977.0474267</v>
      </c>
      <c r="C74" s="86" t="n">
        <f aca="false">'Stress Test'!E19</f>
        <v>26498463.4994091</v>
      </c>
      <c r="D74" s="86" t="n">
        <f aca="false">'Stress Test'!F19</f>
        <v>36146689.0971138</v>
      </c>
      <c r="E74" s="87" t="n">
        <f aca="false">IFERROR(('Withdrawal Plan'!J18+'Withdrawal Plan'!K18+'Withdrawal Plan'!L18+'Withdrawal Plan'!M18)/Portfolio!H27*100,0)</f>
        <v>1.10261999981401</v>
      </c>
      <c r="F74" s="87" t="n">
        <v>4</v>
      </c>
    </row>
    <row r="75" customFormat="false" ht="15" hidden="false" customHeight="false" outlineLevel="0" collapsed="false">
      <c r="A75" s="85" t="n">
        <f aca="false">'Stress Test'!A20</f>
        <v>81</v>
      </c>
      <c r="B75" s="86" t="n">
        <f aca="false">'Stress Test'!C20</f>
        <v>14252045.93431</v>
      </c>
      <c r="C75" s="86" t="n">
        <f aca="false">'Stress Test'!E20</f>
        <v>28499690.3843481</v>
      </c>
      <c r="D75" s="86" t="n">
        <f aca="false">'Stress Test'!F20</f>
        <v>39642707.8118115</v>
      </c>
      <c r="E75" s="87" t="n">
        <f aca="false">IFERROR(('Withdrawal Plan'!J19+'Withdrawal Plan'!K19+'Withdrawal Plan'!L19+'Withdrawal Plan'!M19)/Portfolio!H28*100,0)</f>
        <v>1.02793999619742</v>
      </c>
      <c r="F75" s="87" t="n">
        <v>4</v>
      </c>
    </row>
    <row r="76" customFormat="false" ht="15" hidden="false" customHeight="false" outlineLevel="0" collapsed="false">
      <c r="A76" s="85" t="n">
        <f aca="false">'Stress Test'!A21</f>
        <v>82</v>
      </c>
      <c r="B76" s="86" t="n">
        <f aca="false">'Stress Test'!C21</f>
        <v>14704666.4222536</v>
      </c>
      <c r="C76" s="86" t="n">
        <f aca="false">'Stress Test'!E21</f>
        <v>30662204.2656672</v>
      </c>
      <c r="D76" s="86" t="n">
        <f aca="false">'Stress Test'!F21</f>
        <v>43489517.2435639</v>
      </c>
      <c r="E76" s="87" t="n">
        <f aca="false">IFERROR(('Withdrawal Plan'!J20+'Withdrawal Plan'!K20+'Withdrawal Plan'!L20+'Withdrawal Plan'!M20)/Portfolio!H29*100,0)</f>
        <v>0.956294378941346</v>
      </c>
      <c r="F76" s="87" t="n">
        <v>4</v>
      </c>
    </row>
    <row r="77" customFormat="false" ht="15" hidden="false" customHeight="false" outlineLevel="0" collapsed="false">
      <c r="A77" s="85" t="n">
        <f aca="false">'Stress Test'!A22</f>
        <v>83</v>
      </c>
      <c r="B77" s="86" t="n">
        <f aca="false">'Stress Test'!C22</f>
        <v>15176604.2389627</v>
      </c>
      <c r="C77" s="86" t="n">
        <f aca="false">'Stress Test'!E22</f>
        <v>32998931.7667395</v>
      </c>
      <c r="D77" s="86" t="n">
        <f aca="false">'Stress Test'!F22</f>
        <v>47722220.1277392</v>
      </c>
      <c r="E77" s="87" t="n">
        <f aca="false">IFERROR(('Withdrawal Plan'!J21+'Withdrawal Plan'!K21+'Withdrawal Plan'!L21+'Withdrawal Plan'!M21)/Portfolio!H30*100,0)</f>
        <v>0.887879909078267</v>
      </c>
      <c r="F77" s="87" t="n">
        <v>4</v>
      </c>
    </row>
    <row r="78" customFormat="false" ht="15" hidden="false" customHeight="false" outlineLevel="0" collapsed="false">
      <c r="A78" s="85" t="n">
        <f aca="false">'Stress Test'!A23</f>
        <v>84</v>
      </c>
      <c r="B78" s="86" t="n">
        <f aca="false">'Stress Test'!C23</f>
        <v>15668656.0299681</v>
      </c>
      <c r="C78" s="86" t="n">
        <f aca="false">'Stress Test'!E23</f>
        <v>35523833.9295256</v>
      </c>
      <c r="D78" s="86" t="n">
        <f aca="false">'Stress Test'!F23</f>
        <v>52379429.76196</v>
      </c>
      <c r="E78" s="87" t="n">
        <f aca="false">IFERROR(('Withdrawal Plan'!J22+'Withdrawal Plan'!K22+'Withdrawal Plan'!L22+'Withdrawal Plan'!M22)/Portfolio!H31*100,0)</f>
        <v>0.822831014932614</v>
      </c>
      <c r="F78" s="87" t="n">
        <v>4</v>
      </c>
    </row>
    <row r="79" customFormat="false" ht="15" hidden="false" customHeight="false" outlineLevel="0" collapsed="false">
      <c r="A79" s="85" t="n">
        <f aca="false">'Stress Test'!A24</f>
        <v>85</v>
      </c>
      <c r="B79" s="86" t="n">
        <f aca="false">'Stress Test'!C24</f>
        <v>16181650.587414</v>
      </c>
      <c r="C79" s="86" t="n">
        <f aca="false">'Stress Test'!E24</f>
        <v>38251988.9601348</v>
      </c>
      <c r="D79" s="86" t="n">
        <f aca="false">'Stress Test'!F24</f>
        <v>57503621.0544032</v>
      </c>
      <c r="E79" s="87" t="n">
        <f aca="false">IFERROR(('Withdrawal Plan'!J23+'Withdrawal Plan'!K23+'Withdrawal Plan'!L23+'Withdrawal Plan'!M23)/Portfolio!H32*100,0)</f>
        <v>0.761225809389379</v>
      </c>
      <c r="F79" s="87" t="n">
        <v>4</v>
      </c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2026-04-19T15:37:49Z</dcterms:created>
  <dc:creator>openpyxl</dc:creator>
  <dc:description/>
  <dc:language>en-US</dc:language>
  <cp:lastModifiedBy/>
  <dcterms:modified xsi:type="dcterms:W3CDTF">2026-04-21T20:50:18Z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